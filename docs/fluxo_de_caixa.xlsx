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luxo" sheetId="1" r:id="rId4"/>
    <sheet state="visible" name="Premissas" sheetId="2" r:id="rId5"/>
    <sheet state="visible" name="KPIs" sheetId="3" r:id="rId6"/>
  </sheets>
  <definedNames/>
  <calcPr/>
</workbook>
</file>

<file path=xl/sharedStrings.xml><?xml version="1.0" encoding="utf-8"?>
<sst xmlns="http://schemas.openxmlformats.org/spreadsheetml/2006/main" count="29" uniqueCount="29">
  <si>
    <t>Mês</t>
  </si>
  <si>
    <t>Unidades vendidas</t>
  </si>
  <si>
    <t>Unidades Total</t>
  </si>
  <si>
    <t>Vendas (R$)</t>
  </si>
  <si>
    <t>Mensalidade</t>
  </si>
  <si>
    <t>Investimentos (R$)</t>
  </si>
  <si>
    <t>Aportes (R$)</t>
  </si>
  <si>
    <t>Entradas Totais (R$)</t>
  </si>
  <si>
    <t>Insumos (R$)</t>
  </si>
  <si>
    <t>Impostos (R$)</t>
  </si>
  <si>
    <t>Custos Fixos (R$)</t>
  </si>
  <si>
    <t>Saídas Totais (R$)</t>
  </si>
  <si>
    <t>Saldo do Mês (R$)</t>
  </si>
  <si>
    <t>Saldo Acumulado (R$)</t>
  </si>
  <si>
    <t>Jan/2025</t>
  </si>
  <si>
    <t>Fev/2025</t>
  </si>
  <si>
    <t>Mar/2025</t>
  </si>
  <si>
    <t>Abr/2025</t>
  </si>
  <si>
    <t>Parâmetro</t>
  </si>
  <si>
    <t>Valor (R$)</t>
  </si>
  <si>
    <t>Preço de venda (por unidade)</t>
  </si>
  <si>
    <t>Custo de insumos (por unidade)</t>
  </si>
  <si>
    <t>Tributação DAS (sobre faturamento)</t>
  </si>
  <si>
    <t>Custo fixo mensal (servidor)</t>
  </si>
  <si>
    <t>Investimento inicial (Jan/2025)</t>
  </si>
  <si>
    <t>Indicador</t>
  </si>
  <si>
    <t>Valor</t>
  </si>
  <si>
    <t>Margem de contribuição por unidade</t>
  </si>
  <si>
    <t>Ponto de equilíbrio (unid/mês, aprox.)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</si>
</sst>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R$ #,##0.00"/>
  </numFmts>
  <fonts count="6">
    <font>
      <sz val="11.0"/>
      <color theme="1"/>
      <name val="Calibri"/>
      <scheme val="minor"/>
    </font>
    <font>
      <b/>
      <sz val="11.0"/>
      <color theme="1"/>
      <name val="Calibri"/>
    </font>
    <font>
      <b/>
      <color theme="1"/>
      <name val="Calibri"/>
      <scheme val="minor"/>
    </font>
    <font>
      <color theme="1"/>
      <name val="Calibri"/>
    </font>
    <font>
      <color theme="1"/>
      <name val="Calibri"/>
      <scheme val="minor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E06666"/>
        <bgColor rgb="FFE06666"/>
      </patternFill>
    </fill>
    <fill>
      <patternFill patternType="solid">
        <fgColor rgb="FF6D9EEB"/>
        <bgColor rgb="FF6D9EEB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top"/>
    </xf>
    <xf borderId="2" fillId="2" fontId="1" numFmtId="0" xfId="0" applyAlignment="1" applyBorder="1" applyFill="1" applyFont="1">
      <alignment horizontal="center" vertical="top"/>
    </xf>
    <xf borderId="1" fillId="2" fontId="1" numFmtId="0" xfId="0" applyAlignment="1" applyBorder="1" applyFont="1">
      <alignment horizontal="center" readingOrder="0"/>
    </xf>
    <xf borderId="3" fillId="3" fontId="1" numFmtId="0" xfId="0" applyAlignment="1" applyBorder="1" applyFill="1" applyFont="1">
      <alignment horizontal="center" vertical="top"/>
    </xf>
    <xf borderId="0" fillId="3" fontId="2" numFmtId="0" xfId="0" applyAlignment="1" applyFont="1">
      <alignment horizontal="center" readingOrder="0"/>
    </xf>
    <xf borderId="1" fillId="3" fontId="1" numFmtId="0" xfId="0" applyAlignment="1" applyBorder="1" applyFont="1">
      <alignment horizontal="center" vertical="top"/>
    </xf>
    <xf borderId="1" fillId="4" fontId="1" numFmtId="0" xfId="0" applyAlignment="1" applyBorder="1" applyFill="1" applyFont="1">
      <alignment horizontal="center" vertical="top"/>
    </xf>
    <xf borderId="1" fillId="5" fontId="1" numFmtId="0" xfId="0" applyAlignment="1" applyBorder="1" applyFill="1" applyFont="1">
      <alignment horizontal="center" vertical="top"/>
    </xf>
    <xf borderId="1" fillId="0" fontId="3" numFmtId="0" xfId="0" applyBorder="1" applyFont="1"/>
    <xf borderId="1" fillId="0" fontId="4" numFmtId="0" xfId="0" applyBorder="1" applyFont="1"/>
    <xf borderId="1" fillId="0" fontId="5" numFmtId="164" xfId="0" applyAlignment="1" applyBorder="1" applyFont="1" applyNumberFormat="1">
      <alignment readingOrder="0"/>
    </xf>
    <xf borderId="1" fillId="0" fontId="5" numFmtId="164" xfId="0" applyBorder="1" applyFont="1" applyNumberFormat="1"/>
    <xf borderId="0" fillId="0" fontId="5" numFmtId="164" xfId="0" applyFont="1" applyNumberFormat="1"/>
    <xf borderId="0" fillId="0" fontId="1" numFmtId="0" xfId="0" applyFont="1"/>
    <xf borderId="0" fillId="0" fontId="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6.71"/>
    <col customWidth="1" min="3" max="3" width="14.71"/>
    <col customWidth="1" min="4" max="4" width="16.43"/>
    <col customWidth="1" min="5" max="5" width="23.0"/>
    <col customWidth="1" min="6" max="6" width="18.71"/>
    <col customWidth="1" min="7" max="7" width="13.86"/>
    <col customWidth="1" min="8" max="8" width="17.57"/>
    <col customWidth="1" min="9" max="9" width="14.86"/>
    <col customWidth="1" min="10" max="13" width="18.71"/>
    <col customWidth="1" min="14" max="14" width="20.43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6" t="s">
        <v>6</v>
      </c>
      <c r="H1" s="6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</row>
    <row r="2">
      <c r="A2" s="9" t="s">
        <v>14</v>
      </c>
      <c r="B2" s="9">
        <v>3.0</v>
      </c>
      <c r="C2" s="10">
        <f>SUM(B2)</f>
        <v>3</v>
      </c>
      <c r="D2" s="11">
        <v>3000.0</v>
      </c>
      <c r="E2" s="12">
        <f t="shared" ref="E2:E5" si="1">SUM(C2 * 50)</f>
        <v>150</v>
      </c>
      <c r="F2" s="11">
        <v>0.0</v>
      </c>
      <c r="G2" s="11">
        <v>916.0</v>
      </c>
      <c r="H2" s="12">
        <f>SUM(1000 * B2) + G2 + E2</f>
        <v>4066</v>
      </c>
      <c r="I2" s="12">
        <f t="shared" ref="I2:I5" si="2">SUM(160 * B2)</f>
        <v>480</v>
      </c>
      <c r="J2" s="12">
        <v>240.0</v>
      </c>
      <c r="K2" s="12">
        <v>30.0</v>
      </c>
      <c r="L2" s="12">
        <f t="shared" ref="L2:L5" si="3">SUM(J2+I2 + K2) </f>
        <v>750</v>
      </c>
      <c r="M2" s="12">
        <f t="shared" ref="M2:M5" si="4">SUM(H2 - L2)</f>
        <v>3316</v>
      </c>
      <c r="N2" s="12">
        <f>SUM(M2)</f>
        <v>3316</v>
      </c>
    </row>
    <row r="3">
      <c r="A3" s="9" t="s">
        <v>15</v>
      </c>
      <c r="B3" s="9">
        <v>4.0</v>
      </c>
      <c r="C3" s="10">
        <f>SUM(B2:B3)</f>
        <v>7</v>
      </c>
      <c r="D3" s="12">
        <v>4000.0</v>
      </c>
      <c r="E3" s="12">
        <f t="shared" si="1"/>
        <v>350</v>
      </c>
      <c r="F3" s="12">
        <v>0.0</v>
      </c>
      <c r="G3" s="12">
        <v>0.0</v>
      </c>
      <c r="H3" s="12">
        <f t="shared" ref="H3:H5" si="5">SUM(1000 * B3) + E3</f>
        <v>4350</v>
      </c>
      <c r="I3" s="12">
        <f t="shared" si="2"/>
        <v>640</v>
      </c>
      <c r="J3" s="12">
        <v>480.0</v>
      </c>
      <c r="K3" s="12">
        <v>30.0</v>
      </c>
      <c r="L3" s="12">
        <f t="shared" si="3"/>
        <v>1150</v>
      </c>
      <c r="M3" s="12">
        <f t="shared" si="4"/>
        <v>3200</v>
      </c>
      <c r="N3" s="12">
        <f>SUM(M2 + M3)</f>
        <v>6516</v>
      </c>
    </row>
    <row r="4">
      <c r="A4" s="9" t="s">
        <v>16</v>
      </c>
      <c r="B4" s="9">
        <v>5.0</v>
      </c>
      <c r="C4" s="10">
        <f>SUM(B2:B4)</f>
        <v>12</v>
      </c>
      <c r="D4" s="12">
        <v>5000.0</v>
      </c>
      <c r="E4" s="12">
        <f t="shared" si="1"/>
        <v>600</v>
      </c>
      <c r="F4" s="12">
        <v>0.0</v>
      </c>
      <c r="G4" s="12">
        <v>0.0</v>
      </c>
      <c r="H4" s="12">
        <f t="shared" si="5"/>
        <v>5600</v>
      </c>
      <c r="I4" s="12">
        <f t="shared" si="2"/>
        <v>800</v>
      </c>
      <c r="J4" s="12">
        <v>720.0</v>
      </c>
      <c r="K4" s="12">
        <v>30.0</v>
      </c>
      <c r="L4" s="12">
        <f t="shared" si="3"/>
        <v>1550</v>
      </c>
      <c r="M4" s="12">
        <f t="shared" si="4"/>
        <v>4050</v>
      </c>
      <c r="N4" s="12">
        <f>SUM(M2 + M3 + M4)</f>
        <v>10566</v>
      </c>
    </row>
    <row r="5">
      <c r="A5" s="9" t="s">
        <v>17</v>
      </c>
      <c r="B5" s="9">
        <v>6.0</v>
      </c>
      <c r="C5" s="10">
        <f>SUM(B2:B5)</f>
        <v>18</v>
      </c>
      <c r="D5" s="12">
        <v>6000.0</v>
      </c>
      <c r="E5" s="12">
        <f t="shared" si="1"/>
        <v>900</v>
      </c>
      <c r="F5" s="12">
        <v>0.0</v>
      </c>
      <c r="G5" s="12">
        <v>0.0</v>
      </c>
      <c r="H5" s="12">
        <f t="shared" si="5"/>
        <v>6900</v>
      </c>
      <c r="I5" s="12">
        <f t="shared" si="2"/>
        <v>960</v>
      </c>
      <c r="J5" s="12">
        <v>960.0</v>
      </c>
      <c r="K5" s="12">
        <v>30.0</v>
      </c>
      <c r="L5" s="12">
        <f t="shared" si="3"/>
        <v>1950</v>
      </c>
      <c r="M5" s="12">
        <f t="shared" si="4"/>
        <v>4950</v>
      </c>
      <c r="N5" s="12">
        <f>SUM(M2 + M3 + M4 + M5)</f>
        <v>15516</v>
      </c>
    </row>
    <row r="6">
      <c r="D6" s="13"/>
      <c r="F6" s="13"/>
      <c r="G6" s="13"/>
      <c r="H6" s="13"/>
      <c r="I6" s="13"/>
      <c r="J6" s="13"/>
      <c r="K6" s="13"/>
      <c r="L6" s="13"/>
      <c r="M6" s="13"/>
      <c r="N6" s="13"/>
    </row>
    <row r="7">
      <c r="D7" s="13"/>
      <c r="F7" s="13"/>
      <c r="G7" s="13"/>
      <c r="H7" s="13"/>
      <c r="I7" s="13"/>
      <c r="J7" s="13"/>
      <c r="K7" s="13"/>
      <c r="L7" s="13"/>
      <c r="M7" s="13"/>
      <c r="N7" s="13"/>
    </row>
    <row r="8">
      <c r="D8" s="13"/>
      <c r="F8" s="13"/>
      <c r="G8" s="13"/>
      <c r="H8" s="13"/>
      <c r="I8" s="13"/>
      <c r="J8" s="13"/>
      <c r="K8" s="13"/>
      <c r="L8" s="13"/>
      <c r="M8" s="13"/>
      <c r="N8" s="13"/>
    </row>
    <row r="9">
      <c r="D9" s="13"/>
      <c r="F9" s="13"/>
      <c r="G9" s="13"/>
      <c r="H9" s="13"/>
      <c r="I9" s="13"/>
      <c r="J9" s="13"/>
      <c r="K9" s="13"/>
      <c r="L9" s="13"/>
      <c r="M9" s="13"/>
      <c r="N9" s="13"/>
    </row>
    <row r="10">
      <c r="D10" s="13"/>
      <c r="F10" s="13"/>
      <c r="G10" s="13"/>
      <c r="H10" s="13"/>
      <c r="I10" s="13"/>
      <c r="J10" s="13"/>
      <c r="K10" s="13"/>
      <c r="L10" s="13"/>
      <c r="M10" s="13"/>
      <c r="N10" s="13"/>
    </row>
    <row r="11">
      <c r="D11" s="13"/>
      <c r="F11" s="13"/>
      <c r="G11" s="13"/>
      <c r="H11" s="13"/>
      <c r="I11" s="13"/>
      <c r="J11" s="13"/>
      <c r="K11" s="13"/>
      <c r="L11" s="13"/>
      <c r="M11" s="13"/>
      <c r="N11" s="13"/>
    </row>
    <row r="12">
      <c r="D12" s="13"/>
      <c r="F12" s="13"/>
      <c r="G12" s="13"/>
      <c r="H12" s="13"/>
      <c r="I12" s="13"/>
      <c r="J12" s="13"/>
      <c r="K12" s="13"/>
      <c r="L12" s="13"/>
      <c r="M12" s="13"/>
      <c r="N12" s="13"/>
    </row>
    <row r="13">
      <c r="D13" s="13"/>
      <c r="F13" s="13"/>
      <c r="G13" s="13"/>
      <c r="H13" s="13"/>
      <c r="I13" s="13"/>
      <c r="J13" s="13"/>
      <c r="K13" s="13"/>
      <c r="L13" s="13"/>
      <c r="M13" s="13"/>
      <c r="N13" s="13"/>
    </row>
    <row r="14">
      <c r="D14" s="13"/>
      <c r="F14" s="13"/>
      <c r="G14" s="13"/>
      <c r="H14" s="13"/>
      <c r="I14" s="13"/>
      <c r="J14" s="13"/>
      <c r="K14" s="13"/>
      <c r="L14" s="13"/>
      <c r="M14" s="13"/>
      <c r="N14" s="13"/>
    </row>
    <row r="15">
      <c r="D15" s="13"/>
      <c r="F15" s="13"/>
      <c r="G15" s="13"/>
      <c r="H15" s="13"/>
      <c r="I15" s="13"/>
      <c r="J15" s="13"/>
      <c r="K15" s="13"/>
      <c r="L15" s="13"/>
      <c r="M15" s="13"/>
      <c r="N15" s="13"/>
    </row>
    <row r="16">
      <c r="D16" s="13"/>
      <c r="F16" s="13"/>
      <c r="G16" s="13"/>
      <c r="H16" s="13"/>
      <c r="I16" s="13"/>
      <c r="J16" s="13"/>
      <c r="K16" s="13"/>
      <c r="L16" s="13"/>
      <c r="M16" s="13"/>
      <c r="N16" s="13"/>
    </row>
    <row r="17">
      <c r="D17" s="13"/>
      <c r="F17" s="13"/>
      <c r="G17" s="13"/>
      <c r="H17" s="13"/>
      <c r="I17" s="13"/>
      <c r="J17" s="13"/>
      <c r="K17" s="13"/>
      <c r="L17" s="13"/>
      <c r="M17" s="13"/>
      <c r="N17" s="13"/>
    </row>
    <row r="18">
      <c r="D18" s="13"/>
      <c r="F18" s="13"/>
      <c r="G18" s="13"/>
      <c r="H18" s="13"/>
      <c r="I18" s="13"/>
      <c r="J18" s="13"/>
      <c r="K18" s="13"/>
      <c r="L18" s="13"/>
      <c r="M18" s="13"/>
      <c r="N18" s="13"/>
    </row>
    <row r="19">
      <c r="D19" s="13"/>
      <c r="F19" s="13"/>
      <c r="G19" s="13"/>
      <c r="H19" s="13"/>
      <c r="I19" s="13"/>
      <c r="J19" s="13"/>
      <c r="K19" s="13"/>
      <c r="L19" s="13"/>
      <c r="M19" s="13"/>
      <c r="N19" s="13"/>
    </row>
    <row r="20">
      <c r="D20" s="13"/>
      <c r="F20" s="13"/>
      <c r="G20" s="13"/>
      <c r="H20" s="13"/>
      <c r="I20" s="13"/>
      <c r="J20" s="13"/>
      <c r="K20" s="13"/>
      <c r="L20" s="13"/>
      <c r="M20" s="13"/>
      <c r="N20" s="13"/>
    </row>
    <row r="21" ht="15.75" customHeight="1">
      <c r="D21" s="13"/>
      <c r="F21" s="13"/>
      <c r="G21" s="13"/>
      <c r="H21" s="13"/>
      <c r="I21" s="13"/>
      <c r="J21" s="13"/>
      <c r="K21" s="13"/>
      <c r="L21" s="13"/>
      <c r="M21" s="13"/>
      <c r="N21" s="13"/>
    </row>
    <row r="22" ht="15.75" customHeight="1">
      <c r="D22" s="13"/>
      <c r="F22" s="13"/>
      <c r="G22" s="13"/>
      <c r="H22" s="13"/>
      <c r="I22" s="13"/>
      <c r="J22" s="13"/>
      <c r="K22" s="13"/>
      <c r="L22" s="13"/>
      <c r="M22" s="13"/>
      <c r="N22" s="13"/>
    </row>
    <row r="23" ht="15.75" customHeight="1">
      <c r="D23" s="13"/>
      <c r="F23" s="13"/>
      <c r="G23" s="13"/>
      <c r="H23" s="13"/>
      <c r="I23" s="13"/>
      <c r="J23" s="13"/>
      <c r="K23" s="13"/>
      <c r="L23" s="13"/>
      <c r="M23" s="13"/>
      <c r="N23" s="13"/>
    </row>
    <row r="24" ht="15.75" customHeight="1">
      <c r="D24" s="13"/>
      <c r="F24" s="13"/>
      <c r="G24" s="13"/>
      <c r="H24" s="13"/>
      <c r="I24" s="13"/>
      <c r="J24" s="13"/>
      <c r="K24" s="13"/>
      <c r="L24" s="13"/>
      <c r="M24" s="13"/>
      <c r="N24" s="13"/>
    </row>
    <row r="25" ht="15.75" customHeight="1">
      <c r="D25" s="13"/>
      <c r="F25" s="13"/>
      <c r="G25" s="13"/>
      <c r="H25" s="13"/>
      <c r="I25" s="13"/>
      <c r="J25" s="13"/>
      <c r="K25" s="13"/>
      <c r="L25" s="13"/>
      <c r="M25" s="13"/>
      <c r="N25" s="13"/>
    </row>
    <row r="26" ht="15.75" customHeight="1">
      <c r="D26" s="13"/>
      <c r="F26" s="13"/>
      <c r="G26" s="13"/>
      <c r="H26" s="13"/>
      <c r="I26" s="13"/>
      <c r="J26" s="13"/>
      <c r="K26" s="13"/>
      <c r="L26" s="13"/>
      <c r="M26" s="13"/>
      <c r="N26" s="13"/>
    </row>
    <row r="27" ht="15.75" customHeight="1">
      <c r="D27" s="13"/>
      <c r="F27" s="13"/>
      <c r="G27" s="13"/>
      <c r="H27" s="13"/>
      <c r="I27" s="13"/>
      <c r="J27" s="13"/>
      <c r="K27" s="13"/>
      <c r="L27" s="13"/>
      <c r="M27" s="13"/>
      <c r="N27" s="13"/>
    </row>
    <row r="28" ht="15.75" customHeight="1">
      <c r="D28" s="13"/>
      <c r="F28" s="13"/>
      <c r="G28" s="13"/>
      <c r="H28" s="13"/>
      <c r="I28" s="13"/>
      <c r="J28" s="13"/>
      <c r="K28" s="13"/>
      <c r="L28" s="13"/>
      <c r="M28" s="13"/>
      <c r="N28" s="13"/>
    </row>
    <row r="29" ht="15.75" customHeight="1">
      <c r="D29" s="13"/>
      <c r="F29" s="13"/>
      <c r="G29" s="13"/>
      <c r="H29" s="13"/>
      <c r="I29" s="13"/>
      <c r="J29" s="13"/>
      <c r="K29" s="13"/>
      <c r="L29" s="13"/>
      <c r="M29" s="13"/>
      <c r="N29" s="13"/>
    </row>
    <row r="30" ht="15.75" customHeight="1">
      <c r="D30" s="13"/>
      <c r="F30" s="13"/>
      <c r="G30" s="13"/>
      <c r="H30" s="13"/>
      <c r="I30" s="13"/>
      <c r="J30" s="13"/>
      <c r="K30" s="13"/>
      <c r="L30" s="13"/>
      <c r="M30" s="13"/>
      <c r="N30" s="13"/>
    </row>
    <row r="31" ht="15.75" customHeight="1">
      <c r="D31" s="13"/>
      <c r="F31" s="13"/>
      <c r="G31" s="13"/>
      <c r="H31" s="13"/>
      <c r="I31" s="13"/>
      <c r="J31" s="13"/>
      <c r="K31" s="13"/>
      <c r="L31" s="13"/>
      <c r="M31" s="13"/>
      <c r="N31" s="13"/>
    </row>
    <row r="32" ht="15.75" customHeight="1">
      <c r="D32" s="13"/>
      <c r="F32" s="13"/>
      <c r="G32" s="13"/>
      <c r="H32" s="13"/>
      <c r="I32" s="13"/>
      <c r="J32" s="13"/>
      <c r="K32" s="13"/>
      <c r="L32" s="13"/>
      <c r="M32" s="13"/>
      <c r="N32" s="13"/>
    </row>
    <row r="33" ht="15.75" customHeight="1">
      <c r="D33" s="13"/>
      <c r="F33" s="13"/>
      <c r="G33" s="13"/>
      <c r="H33" s="13"/>
      <c r="I33" s="13"/>
      <c r="J33" s="13"/>
      <c r="K33" s="13"/>
      <c r="L33" s="13"/>
      <c r="M33" s="13"/>
      <c r="N33" s="13"/>
    </row>
    <row r="34" ht="15.75" customHeight="1">
      <c r="D34" s="13"/>
      <c r="F34" s="13"/>
      <c r="G34" s="13"/>
      <c r="H34" s="13"/>
      <c r="I34" s="13"/>
      <c r="J34" s="13"/>
      <c r="K34" s="13"/>
      <c r="L34" s="13"/>
      <c r="M34" s="13"/>
      <c r="N34" s="13"/>
    </row>
    <row r="35" ht="15.75" customHeight="1">
      <c r="D35" s="13"/>
      <c r="F35" s="13"/>
      <c r="G35" s="13"/>
      <c r="H35" s="13"/>
      <c r="I35" s="13"/>
      <c r="J35" s="13"/>
      <c r="K35" s="13"/>
      <c r="L35" s="13"/>
      <c r="M35" s="13"/>
      <c r="N35" s="13"/>
    </row>
    <row r="36" ht="15.75" customHeight="1">
      <c r="D36" s="13"/>
      <c r="F36" s="13"/>
      <c r="G36" s="13"/>
      <c r="H36" s="13"/>
      <c r="I36" s="13"/>
      <c r="J36" s="13"/>
      <c r="K36" s="13"/>
      <c r="L36" s="13"/>
      <c r="M36" s="13"/>
      <c r="N36" s="13"/>
    </row>
    <row r="37" ht="15.75" customHeight="1">
      <c r="D37" s="13"/>
      <c r="F37" s="13"/>
      <c r="G37" s="13"/>
      <c r="H37" s="13"/>
      <c r="I37" s="13"/>
      <c r="J37" s="13"/>
      <c r="K37" s="13"/>
      <c r="L37" s="13"/>
      <c r="M37" s="13"/>
      <c r="N37" s="13"/>
    </row>
    <row r="38" ht="15.75" customHeight="1">
      <c r="D38" s="13"/>
      <c r="F38" s="13"/>
      <c r="G38" s="13"/>
      <c r="H38" s="13"/>
      <c r="I38" s="13"/>
      <c r="J38" s="13"/>
      <c r="K38" s="13"/>
      <c r="L38" s="13"/>
      <c r="M38" s="13"/>
      <c r="N38" s="13"/>
    </row>
    <row r="39" ht="15.75" customHeight="1">
      <c r="D39" s="13"/>
      <c r="F39" s="13"/>
      <c r="G39" s="13"/>
      <c r="H39" s="13"/>
      <c r="I39" s="13"/>
      <c r="J39" s="13"/>
      <c r="K39" s="13"/>
      <c r="L39" s="13"/>
      <c r="M39" s="13"/>
      <c r="N39" s="13"/>
    </row>
    <row r="40" ht="15.75" customHeight="1">
      <c r="D40" s="13"/>
      <c r="F40" s="13"/>
      <c r="G40" s="13"/>
      <c r="H40" s="13"/>
      <c r="I40" s="13"/>
      <c r="J40" s="13"/>
      <c r="K40" s="13"/>
      <c r="L40" s="13"/>
      <c r="M40" s="13"/>
      <c r="N40" s="13"/>
    </row>
    <row r="41" ht="15.75" customHeight="1">
      <c r="D41" s="13"/>
      <c r="F41" s="13"/>
      <c r="G41" s="13"/>
      <c r="H41" s="13"/>
      <c r="I41" s="13"/>
      <c r="J41" s="13"/>
      <c r="K41" s="13"/>
      <c r="L41" s="13"/>
      <c r="M41" s="13"/>
      <c r="N41" s="13"/>
    </row>
    <row r="42" ht="15.75" customHeight="1">
      <c r="D42" s="13"/>
      <c r="F42" s="13"/>
      <c r="G42" s="13"/>
      <c r="H42" s="13"/>
      <c r="I42" s="13"/>
      <c r="J42" s="13"/>
      <c r="K42" s="13"/>
      <c r="L42" s="13"/>
      <c r="M42" s="13"/>
      <c r="N42" s="13"/>
    </row>
    <row r="43" ht="15.75" customHeight="1">
      <c r="D43" s="13"/>
      <c r="F43" s="13"/>
      <c r="G43" s="13"/>
      <c r="H43" s="13"/>
      <c r="I43" s="13"/>
      <c r="J43" s="13"/>
      <c r="K43" s="13"/>
      <c r="L43" s="13"/>
      <c r="M43" s="13"/>
      <c r="N43" s="13"/>
    </row>
    <row r="44" ht="15.75" customHeight="1">
      <c r="D44" s="13"/>
      <c r="F44" s="13"/>
      <c r="G44" s="13"/>
      <c r="H44" s="13"/>
      <c r="I44" s="13"/>
      <c r="J44" s="13"/>
      <c r="K44" s="13"/>
      <c r="L44" s="13"/>
      <c r="M44" s="13"/>
      <c r="N44" s="13"/>
    </row>
    <row r="45" ht="15.75" customHeight="1">
      <c r="D45" s="13"/>
      <c r="F45" s="13"/>
      <c r="G45" s="13"/>
      <c r="H45" s="13"/>
      <c r="I45" s="13"/>
      <c r="J45" s="13"/>
      <c r="K45" s="13"/>
      <c r="L45" s="13"/>
      <c r="M45" s="13"/>
      <c r="N45" s="13"/>
    </row>
    <row r="46" ht="15.75" customHeight="1">
      <c r="D46" s="13"/>
      <c r="F46" s="13"/>
      <c r="G46" s="13"/>
      <c r="H46" s="13"/>
      <c r="I46" s="13"/>
      <c r="J46" s="13"/>
      <c r="K46" s="13"/>
      <c r="L46" s="13"/>
      <c r="M46" s="13"/>
      <c r="N46" s="13"/>
    </row>
    <row r="47" ht="15.75" customHeight="1">
      <c r="D47" s="13"/>
      <c r="F47" s="13"/>
      <c r="G47" s="13"/>
      <c r="H47" s="13"/>
      <c r="I47" s="13"/>
      <c r="J47" s="13"/>
      <c r="K47" s="13"/>
      <c r="L47" s="13"/>
      <c r="M47" s="13"/>
      <c r="N47" s="13"/>
    </row>
    <row r="48" ht="15.75" customHeight="1">
      <c r="D48" s="13"/>
      <c r="F48" s="13"/>
      <c r="G48" s="13"/>
      <c r="H48" s="13"/>
      <c r="I48" s="13"/>
      <c r="J48" s="13"/>
      <c r="K48" s="13"/>
      <c r="L48" s="13"/>
      <c r="M48" s="13"/>
      <c r="N48" s="13"/>
    </row>
    <row r="49" ht="15.75" customHeight="1">
      <c r="D49" s="13"/>
      <c r="F49" s="13"/>
      <c r="G49" s="13"/>
      <c r="H49" s="13"/>
      <c r="I49" s="13"/>
      <c r="J49" s="13"/>
      <c r="K49" s="13"/>
      <c r="L49" s="13"/>
      <c r="M49" s="13"/>
      <c r="N49" s="13"/>
    </row>
    <row r="50" ht="15.75" customHeight="1">
      <c r="D50" s="13"/>
      <c r="F50" s="13"/>
      <c r="G50" s="13"/>
      <c r="H50" s="13"/>
      <c r="I50" s="13"/>
      <c r="J50" s="13"/>
      <c r="K50" s="13"/>
      <c r="L50" s="13"/>
      <c r="M50" s="13"/>
      <c r="N50" s="13"/>
    </row>
    <row r="51" ht="15.75" customHeight="1">
      <c r="D51" s="13"/>
      <c r="F51" s="13"/>
      <c r="G51" s="13"/>
      <c r="H51" s="13"/>
      <c r="I51" s="13"/>
      <c r="J51" s="13"/>
      <c r="K51" s="13"/>
      <c r="L51" s="13"/>
      <c r="M51" s="13"/>
      <c r="N51" s="13"/>
    </row>
    <row r="52" ht="15.75" customHeight="1">
      <c r="D52" s="13"/>
      <c r="F52" s="13"/>
      <c r="G52" s="13"/>
      <c r="H52" s="13"/>
      <c r="I52" s="13"/>
      <c r="J52" s="13"/>
      <c r="K52" s="13"/>
      <c r="L52" s="13"/>
      <c r="M52" s="13"/>
      <c r="N52" s="13"/>
    </row>
    <row r="53" ht="15.75" customHeight="1">
      <c r="D53" s="13"/>
      <c r="F53" s="13"/>
      <c r="G53" s="13"/>
      <c r="H53" s="13"/>
      <c r="I53" s="13"/>
      <c r="J53" s="13"/>
      <c r="K53" s="13"/>
      <c r="L53" s="13"/>
      <c r="M53" s="13"/>
      <c r="N53" s="13"/>
    </row>
    <row r="54" ht="15.75" customHeight="1">
      <c r="D54" s="13"/>
      <c r="F54" s="13"/>
      <c r="G54" s="13"/>
      <c r="H54" s="13"/>
      <c r="I54" s="13"/>
      <c r="J54" s="13"/>
      <c r="K54" s="13"/>
      <c r="L54" s="13"/>
      <c r="M54" s="13"/>
      <c r="N54" s="13"/>
    </row>
    <row r="55" ht="15.75" customHeight="1">
      <c r="D55" s="13"/>
      <c r="F55" s="13"/>
      <c r="G55" s="13"/>
      <c r="H55" s="13"/>
      <c r="I55" s="13"/>
      <c r="J55" s="13"/>
      <c r="K55" s="13"/>
      <c r="L55" s="13"/>
      <c r="M55" s="13"/>
      <c r="N55" s="13"/>
    </row>
    <row r="56" ht="15.75" customHeight="1">
      <c r="D56" s="13"/>
      <c r="F56" s="13"/>
      <c r="G56" s="13"/>
      <c r="H56" s="13"/>
      <c r="I56" s="13"/>
      <c r="J56" s="13"/>
      <c r="K56" s="13"/>
      <c r="L56" s="13"/>
      <c r="M56" s="13"/>
      <c r="N56" s="13"/>
    </row>
    <row r="57" ht="15.75" customHeight="1">
      <c r="D57" s="13"/>
      <c r="F57" s="13"/>
      <c r="G57" s="13"/>
      <c r="H57" s="13"/>
      <c r="I57" s="13"/>
      <c r="J57" s="13"/>
      <c r="K57" s="13"/>
      <c r="L57" s="13"/>
      <c r="M57" s="13"/>
      <c r="N57" s="13"/>
    </row>
    <row r="58" ht="15.75" customHeight="1">
      <c r="D58" s="13"/>
      <c r="F58" s="13"/>
      <c r="G58" s="13"/>
      <c r="H58" s="13"/>
      <c r="I58" s="13"/>
      <c r="J58" s="13"/>
      <c r="K58" s="13"/>
      <c r="L58" s="13"/>
      <c r="M58" s="13"/>
      <c r="N58" s="13"/>
    </row>
    <row r="59" ht="15.75" customHeight="1">
      <c r="D59" s="13"/>
      <c r="F59" s="13"/>
      <c r="G59" s="13"/>
      <c r="H59" s="13"/>
      <c r="I59" s="13"/>
      <c r="J59" s="13"/>
      <c r="K59" s="13"/>
      <c r="L59" s="13"/>
      <c r="M59" s="13"/>
      <c r="N59" s="13"/>
    </row>
    <row r="60" ht="15.75" customHeight="1">
      <c r="D60" s="13"/>
      <c r="F60" s="13"/>
      <c r="G60" s="13"/>
      <c r="H60" s="13"/>
      <c r="I60" s="13"/>
      <c r="J60" s="13"/>
      <c r="K60" s="13"/>
      <c r="L60" s="13"/>
      <c r="M60" s="13"/>
      <c r="N60" s="13"/>
    </row>
    <row r="61" ht="15.75" customHeight="1">
      <c r="D61" s="13"/>
      <c r="F61" s="13"/>
      <c r="G61" s="13"/>
      <c r="H61" s="13"/>
      <c r="I61" s="13"/>
      <c r="J61" s="13"/>
      <c r="K61" s="13"/>
      <c r="L61" s="13"/>
      <c r="M61" s="13"/>
      <c r="N61" s="13"/>
    </row>
    <row r="62" ht="15.75" customHeight="1">
      <c r="D62" s="13"/>
      <c r="F62" s="13"/>
      <c r="G62" s="13"/>
      <c r="H62" s="13"/>
      <c r="I62" s="13"/>
      <c r="J62" s="13"/>
      <c r="K62" s="13"/>
      <c r="L62" s="13"/>
      <c r="M62" s="13"/>
      <c r="N62" s="13"/>
    </row>
    <row r="63" ht="15.75" customHeight="1">
      <c r="D63" s="13"/>
      <c r="F63" s="13"/>
      <c r="G63" s="13"/>
      <c r="H63" s="13"/>
      <c r="I63" s="13"/>
      <c r="J63" s="13"/>
      <c r="K63" s="13"/>
      <c r="L63" s="13"/>
      <c r="M63" s="13"/>
      <c r="N63" s="13"/>
    </row>
    <row r="64" ht="15.75" customHeight="1">
      <c r="D64" s="13"/>
      <c r="F64" s="13"/>
      <c r="G64" s="13"/>
      <c r="H64" s="13"/>
      <c r="I64" s="13"/>
      <c r="J64" s="13"/>
      <c r="K64" s="13"/>
      <c r="L64" s="13"/>
      <c r="M64" s="13"/>
      <c r="N64" s="13"/>
    </row>
    <row r="65" ht="15.75" customHeight="1">
      <c r="D65" s="13"/>
      <c r="F65" s="13"/>
      <c r="G65" s="13"/>
      <c r="H65" s="13"/>
      <c r="I65" s="13"/>
      <c r="J65" s="13"/>
      <c r="K65" s="13"/>
      <c r="L65" s="13"/>
      <c r="M65" s="13"/>
      <c r="N65" s="13"/>
    </row>
    <row r="66" ht="15.75" customHeight="1">
      <c r="D66" s="13"/>
      <c r="F66" s="13"/>
      <c r="G66" s="13"/>
      <c r="H66" s="13"/>
      <c r="I66" s="13"/>
      <c r="J66" s="13"/>
      <c r="K66" s="13"/>
      <c r="L66" s="13"/>
      <c r="M66" s="13"/>
      <c r="N66" s="13"/>
    </row>
    <row r="67" ht="15.75" customHeight="1">
      <c r="D67" s="13"/>
      <c r="F67" s="13"/>
      <c r="G67" s="13"/>
      <c r="H67" s="13"/>
      <c r="I67" s="13"/>
      <c r="J67" s="13"/>
      <c r="K67" s="13"/>
      <c r="L67" s="13"/>
      <c r="M67" s="13"/>
      <c r="N67" s="13"/>
    </row>
    <row r="68" ht="15.75" customHeight="1">
      <c r="D68" s="13"/>
      <c r="F68" s="13"/>
      <c r="G68" s="13"/>
      <c r="H68" s="13"/>
      <c r="I68" s="13"/>
      <c r="J68" s="13"/>
      <c r="K68" s="13"/>
      <c r="L68" s="13"/>
      <c r="M68" s="13"/>
      <c r="N68" s="13"/>
    </row>
    <row r="69" ht="15.75" customHeight="1">
      <c r="D69" s="13"/>
      <c r="F69" s="13"/>
      <c r="G69" s="13"/>
      <c r="H69" s="13"/>
      <c r="I69" s="13"/>
      <c r="J69" s="13"/>
      <c r="K69" s="13"/>
      <c r="L69" s="13"/>
      <c r="M69" s="13"/>
      <c r="N69" s="13"/>
    </row>
    <row r="70" ht="15.75" customHeight="1">
      <c r="D70" s="13"/>
      <c r="F70" s="13"/>
      <c r="G70" s="13"/>
      <c r="H70" s="13"/>
      <c r="I70" s="13"/>
      <c r="J70" s="13"/>
      <c r="K70" s="13"/>
      <c r="L70" s="13"/>
      <c r="M70" s="13"/>
      <c r="N70" s="13"/>
    </row>
    <row r="71" ht="15.75" customHeight="1">
      <c r="D71" s="13"/>
      <c r="F71" s="13"/>
      <c r="G71" s="13"/>
      <c r="H71" s="13"/>
      <c r="I71" s="13"/>
      <c r="J71" s="13"/>
      <c r="K71" s="13"/>
      <c r="L71" s="13"/>
      <c r="M71" s="13"/>
      <c r="N71" s="13"/>
    </row>
    <row r="72" ht="15.75" customHeight="1">
      <c r="D72" s="13"/>
      <c r="F72" s="13"/>
      <c r="G72" s="13"/>
      <c r="H72" s="13"/>
      <c r="I72" s="13"/>
      <c r="J72" s="13"/>
      <c r="K72" s="13"/>
      <c r="L72" s="13"/>
      <c r="M72" s="13"/>
      <c r="N72" s="13"/>
    </row>
    <row r="73" ht="15.75" customHeight="1">
      <c r="D73" s="13"/>
      <c r="F73" s="13"/>
      <c r="G73" s="13"/>
      <c r="H73" s="13"/>
      <c r="I73" s="13"/>
      <c r="J73" s="13"/>
      <c r="K73" s="13"/>
      <c r="L73" s="13"/>
      <c r="M73" s="13"/>
      <c r="N73" s="13"/>
    </row>
    <row r="74" ht="15.75" customHeight="1">
      <c r="D74" s="13"/>
      <c r="F74" s="13"/>
      <c r="G74" s="13"/>
      <c r="H74" s="13"/>
      <c r="I74" s="13"/>
      <c r="J74" s="13"/>
      <c r="K74" s="13"/>
      <c r="L74" s="13"/>
      <c r="M74" s="13"/>
      <c r="N74" s="13"/>
    </row>
    <row r="75" ht="15.75" customHeight="1">
      <c r="D75" s="13"/>
      <c r="F75" s="13"/>
      <c r="G75" s="13"/>
      <c r="H75" s="13"/>
      <c r="I75" s="13"/>
      <c r="J75" s="13"/>
      <c r="K75" s="13"/>
      <c r="L75" s="13"/>
      <c r="M75" s="13"/>
      <c r="N75" s="13"/>
    </row>
    <row r="76" ht="15.75" customHeight="1">
      <c r="D76" s="13"/>
      <c r="F76" s="13"/>
      <c r="G76" s="13"/>
      <c r="H76" s="13"/>
      <c r="I76" s="13"/>
      <c r="J76" s="13"/>
      <c r="K76" s="13"/>
      <c r="L76" s="13"/>
      <c r="M76" s="13"/>
      <c r="N76" s="13"/>
    </row>
    <row r="77" ht="15.75" customHeight="1">
      <c r="D77" s="13"/>
      <c r="F77" s="13"/>
      <c r="G77" s="13"/>
      <c r="H77" s="13"/>
      <c r="I77" s="13"/>
      <c r="J77" s="13"/>
      <c r="K77" s="13"/>
      <c r="L77" s="13"/>
      <c r="M77" s="13"/>
      <c r="N77" s="13"/>
    </row>
    <row r="78" ht="15.75" customHeight="1">
      <c r="D78" s="13"/>
      <c r="F78" s="13"/>
      <c r="G78" s="13"/>
      <c r="H78" s="13"/>
      <c r="I78" s="13"/>
      <c r="J78" s="13"/>
      <c r="K78" s="13"/>
      <c r="L78" s="13"/>
      <c r="M78" s="13"/>
      <c r="N78" s="13"/>
    </row>
    <row r="79" ht="15.75" customHeight="1">
      <c r="D79" s="13"/>
      <c r="F79" s="13"/>
      <c r="G79" s="13"/>
      <c r="H79" s="13"/>
      <c r="I79" s="13"/>
      <c r="J79" s="13"/>
      <c r="K79" s="13"/>
      <c r="L79" s="13"/>
      <c r="M79" s="13"/>
      <c r="N79" s="13"/>
    </row>
    <row r="80" ht="15.75" customHeight="1">
      <c r="D80" s="13"/>
      <c r="F80" s="13"/>
      <c r="G80" s="13"/>
      <c r="H80" s="13"/>
      <c r="I80" s="13"/>
      <c r="J80" s="13"/>
      <c r="K80" s="13"/>
      <c r="L80" s="13"/>
      <c r="M80" s="13"/>
      <c r="N80" s="13"/>
    </row>
    <row r="81" ht="15.75" customHeight="1">
      <c r="D81" s="13"/>
      <c r="F81" s="13"/>
      <c r="G81" s="13"/>
      <c r="H81" s="13"/>
      <c r="I81" s="13"/>
      <c r="J81" s="13"/>
      <c r="K81" s="13"/>
      <c r="L81" s="13"/>
      <c r="M81" s="13"/>
      <c r="N81" s="13"/>
    </row>
    <row r="82" ht="15.75" customHeight="1">
      <c r="D82" s="13"/>
      <c r="F82" s="13"/>
      <c r="G82" s="13"/>
      <c r="H82" s="13"/>
      <c r="I82" s="13"/>
      <c r="J82" s="13"/>
      <c r="K82" s="13"/>
      <c r="L82" s="13"/>
      <c r="M82" s="13"/>
      <c r="N82" s="13"/>
    </row>
    <row r="83" ht="15.75" customHeight="1">
      <c r="D83" s="13"/>
      <c r="F83" s="13"/>
      <c r="G83" s="13"/>
      <c r="H83" s="13"/>
      <c r="I83" s="13"/>
      <c r="J83" s="13"/>
      <c r="K83" s="13"/>
      <c r="L83" s="13"/>
      <c r="M83" s="13"/>
      <c r="N83" s="13"/>
    </row>
    <row r="84" ht="15.75" customHeight="1">
      <c r="D84" s="13"/>
      <c r="F84" s="13"/>
      <c r="G84" s="13"/>
      <c r="H84" s="13"/>
      <c r="I84" s="13"/>
      <c r="J84" s="13"/>
      <c r="K84" s="13"/>
      <c r="L84" s="13"/>
      <c r="M84" s="13"/>
      <c r="N84" s="13"/>
    </row>
    <row r="85" ht="15.75" customHeight="1">
      <c r="D85" s="13"/>
      <c r="F85" s="13"/>
      <c r="G85" s="13"/>
      <c r="H85" s="13"/>
      <c r="I85" s="13"/>
      <c r="J85" s="13"/>
      <c r="K85" s="13"/>
      <c r="L85" s="13"/>
      <c r="M85" s="13"/>
      <c r="N85" s="13"/>
    </row>
    <row r="86" ht="15.75" customHeight="1">
      <c r="D86" s="13"/>
      <c r="F86" s="13"/>
      <c r="G86" s="13"/>
      <c r="H86" s="13"/>
      <c r="I86" s="13"/>
      <c r="J86" s="13"/>
      <c r="K86" s="13"/>
      <c r="L86" s="13"/>
      <c r="M86" s="13"/>
      <c r="N86" s="13"/>
    </row>
    <row r="87" ht="15.75" customHeight="1">
      <c r="D87" s="13"/>
      <c r="F87" s="13"/>
      <c r="G87" s="13"/>
      <c r="H87" s="13"/>
      <c r="I87" s="13"/>
      <c r="J87" s="13"/>
      <c r="K87" s="13"/>
      <c r="L87" s="13"/>
      <c r="M87" s="13"/>
      <c r="N87" s="13"/>
    </row>
    <row r="88" ht="15.75" customHeight="1">
      <c r="D88" s="13"/>
      <c r="F88" s="13"/>
      <c r="G88" s="13"/>
      <c r="H88" s="13"/>
      <c r="I88" s="13"/>
      <c r="J88" s="13"/>
      <c r="K88" s="13"/>
      <c r="L88" s="13"/>
      <c r="M88" s="13"/>
      <c r="N88" s="13"/>
    </row>
    <row r="89" ht="15.75" customHeight="1">
      <c r="D89" s="13"/>
      <c r="F89" s="13"/>
      <c r="G89" s="13"/>
      <c r="H89" s="13"/>
      <c r="I89" s="13"/>
      <c r="J89" s="13"/>
      <c r="K89" s="13"/>
      <c r="L89" s="13"/>
      <c r="M89" s="13"/>
      <c r="N89" s="13"/>
    </row>
    <row r="90" ht="15.75" customHeight="1">
      <c r="D90" s="13"/>
      <c r="F90" s="13"/>
      <c r="G90" s="13"/>
      <c r="H90" s="13"/>
      <c r="I90" s="13"/>
      <c r="J90" s="13"/>
      <c r="K90" s="13"/>
      <c r="L90" s="13"/>
      <c r="M90" s="13"/>
      <c r="N90" s="13"/>
    </row>
    <row r="91" ht="15.75" customHeight="1">
      <c r="D91" s="13"/>
      <c r="F91" s="13"/>
      <c r="G91" s="13"/>
      <c r="H91" s="13"/>
      <c r="I91" s="13"/>
      <c r="J91" s="13"/>
      <c r="K91" s="13"/>
      <c r="L91" s="13"/>
      <c r="M91" s="13"/>
      <c r="N91" s="13"/>
    </row>
    <row r="92" ht="15.75" customHeight="1">
      <c r="D92" s="13"/>
      <c r="F92" s="13"/>
      <c r="G92" s="13"/>
      <c r="H92" s="13"/>
      <c r="I92" s="13"/>
      <c r="J92" s="13"/>
      <c r="K92" s="13"/>
      <c r="L92" s="13"/>
      <c r="M92" s="13"/>
      <c r="N92" s="13"/>
    </row>
    <row r="93" ht="15.75" customHeight="1">
      <c r="D93" s="13"/>
      <c r="F93" s="13"/>
      <c r="G93" s="13"/>
      <c r="H93" s="13"/>
      <c r="I93" s="13"/>
      <c r="J93" s="13"/>
      <c r="K93" s="13"/>
      <c r="L93" s="13"/>
      <c r="M93" s="13"/>
      <c r="N93" s="13"/>
    </row>
    <row r="94" ht="15.75" customHeight="1">
      <c r="D94" s="13"/>
      <c r="F94" s="13"/>
      <c r="G94" s="13"/>
      <c r="H94" s="13"/>
      <c r="I94" s="13"/>
      <c r="J94" s="13"/>
      <c r="K94" s="13"/>
      <c r="L94" s="13"/>
      <c r="M94" s="13"/>
      <c r="N94" s="13"/>
    </row>
    <row r="95" ht="15.75" customHeight="1">
      <c r="D95" s="13"/>
      <c r="F95" s="13"/>
      <c r="G95" s="13"/>
      <c r="H95" s="13"/>
      <c r="I95" s="13"/>
      <c r="J95" s="13"/>
      <c r="K95" s="13"/>
      <c r="L95" s="13"/>
      <c r="M95" s="13"/>
      <c r="N95" s="13"/>
    </row>
    <row r="96" ht="15.75" customHeight="1">
      <c r="D96" s="13"/>
      <c r="F96" s="13"/>
      <c r="G96" s="13"/>
      <c r="H96" s="13"/>
      <c r="I96" s="13"/>
      <c r="J96" s="13"/>
      <c r="K96" s="13"/>
      <c r="L96" s="13"/>
      <c r="M96" s="13"/>
      <c r="N96" s="13"/>
    </row>
    <row r="97" ht="15.75" customHeight="1">
      <c r="D97" s="13"/>
      <c r="F97" s="13"/>
      <c r="G97" s="13"/>
      <c r="H97" s="13"/>
      <c r="I97" s="13"/>
      <c r="J97" s="13"/>
      <c r="K97" s="13"/>
      <c r="L97" s="13"/>
      <c r="M97" s="13"/>
      <c r="N97" s="13"/>
    </row>
    <row r="98" ht="15.75" customHeight="1">
      <c r="D98" s="13"/>
      <c r="F98" s="13"/>
      <c r="G98" s="13"/>
      <c r="H98" s="13"/>
      <c r="I98" s="13"/>
      <c r="J98" s="13"/>
      <c r="K98" s="13"/>
      <c r="L98" s="13"/>
      <c r="M98" s="13"/>
      <c r="N98" s="13"/>
    </row>
    <row r="99" ht="15.75" customHeight="1">
      <c r="D99" s="13"/>
      <c r="F99" s="13"/>
      <c r="G99" s="13"/>
      <c r="H99" s="13"/>
      <c r="I99" s="13"/>
      <c r="J99" s="13"/>
      <c r="K99" s="13"/>
      <c r="L99" s="13"/>
      <c r="M99" s="13"/>
      <c r="N99" s="13"/>
    </row>
    <row r="100" ht="15.75" customHeight="1">
      <c r="D100" s="13"/>
      <c r="F100" s="13"/>
      <c r="G100" s="13"/>
      <c r="H100" s="13"/>
      <c r="I100" s="13"/>
      <c r="J100" s="13"/>
      <c r="K100" s="13"/>
      <c r="L100" s="13"/>
      <c r="M100" s="13"/>
      <c r="N100" s="13"/>
    </row>
    <row r="101" ht="15.75" customHeight="1">
      <c r="D101" s="13"/>
      <c r="F101" s="13"/>
      <c r="G101" s="13"/>
      <c r="H101" s="13"/>
      <c r="I101" s="13"/>
      <c r="J101" s="13"/>
      <c r="K101" s="13"/>
      <c r="L101" s="13"/>
      <c r="M101" s="13"/>
      <c r="N101" s="13"/>
    </row>
    <row r="102" ht="15.75" customHeight="1">
      <c r="D102" s="13"/>
      <c r="F102" s="13"/>
      <c r="G102" s="13"/>
      <c r="H102" s="13"/>
      <c r="I102" s="13"/>
      <c r="J102" s="13"/>
      <c r="K102" s="13"/>
      <c r="L102" s="13"/>
      <c r="M102" s="13"/>
      <c r="N102" s="13"/>
    </row>
    <row r="103" ht="15.75" customHeight="1">
      <c r="D103" s="13"/>
      <c r="F103" s="13"/>
      <c r="G103" s="13"/>
      <c r="H103" s="13"/>
      <c r="I103" s="13"/>
      <c r="J103" s="13"/>
      <c r="K103" s="13"/>
      <c r="L103" s="13"/>
      <c r="M103" s="13"/>
      <c r="N103" s="13"/>
    </row>
    <row r="104" ht="15.75" customHeight="1">
      <c r="D104" s="13"/>
      <c r="F104" s="13"/>
      <c r="G104" s="13"/>
      <c r="H104" s="13"/>
      <c r="I104" s="13"/>
      <c r="J104" s="13"/>
      <c r="K104" s="13"/>
      <c r="L104" s="13"/>
      <c r="M104" s="13"/>
      <c r="N104" s="13"/>
    </row>
    <row r="105" ht="15.75" customHeight="1">
      <c r="D105" s="13"/>
      <c r="F105" s="13"/>
      <c r="G105" s="13"/>
      <c r="H105" s="13"/>
      <c r="I105" s="13"/>
      <c r="J105" s="13"/>
      <c r="K105" s="13"/>
      <c r="L105" s="13"/>
      <c r="M105" s="13"/>
      <c r="N105" s="13"/>
    </row>
    <row r="106" ht="15.75" customHeight="1">
      <c r="D106" s="13"/>
      <c r="F106" s="13"/>
      <c r="G106" s="13"/>
      <c r="H106" s="13"/>
      <c r="I106" s="13"/>
      <c r="J106" s="13"/>
      <c r="K106" s="13"/>
      <c r="L106" s="13"/>
      <c r="M106" s="13"/>
      <c r="N106" s="13"/>
    </row>
    <row r="107" ht="15.75" customHeight="1">
      <c r="D107" s="13"/>
      <c r="F107" s="13"/>
      <c r="G107" s="13"/>
      <c r="H107" s="13"/>
      <c r="I107" s="13"/>
      <c r="J107" s="13"/>
      <c r="K107" s="13"/>
      <c r="L107" s="13"/>
      <c r="M107" s="13"/>
      <c r="N107" s="13"/>
    </row>
    <row r="108" ht="15.75" customHeight="1">
      <c r="D108" s="13"/>
      <c r="F108" s="13"/>
      <c r="G108" s="13"/>
      <c r="H108" s="13"/>
      <c r="I108" s="13"/>
      <c r="J108" s="13"/>
      <c r="K108" s="13"/>
      <c r="L108" s="13"/>
      <c r="M108" s="13"/>
      <c r="N108" s="13"/>
    </row>
    <row r="109" ht="15.75" customHeight="1">
      <c r="D109" s="13"/>
      <c r="F109" s="13"/>
      <c r="G109" s="13"/>
      <c r="H109" s="13"/>
      <c r="I109" s="13"/>
      <c r="J109" s="13"/>
      <c r="K109" s="13"/>
      <c r="L109" s="13"/>
      <c r="M109" s="13"/>
      <c r="N109" s="13"/>
    </row>
    <row r="110" ht="15.75" customHeight="1">
      <c r="D110" s="13"/>
      <c r="F110" s="13"/>
      <c r="G110" s="13"/>
      <c r="H110" s="13"/>
      <c r="I110" s="13"/>
      <c r="J110" s="13"/>
      <c r="K110" s="13"/>
      <c r="L110" s="13"/>
      <c r="M110" s="13"/>
      <c r="N110" s="13"/>
    </row>
    <row r="111" ht="15.75" customHeight="1">
      <c r="D111" s="13"/>
      <c r="F111" s="13"/>
      <c r="G111" s="13"/>
      <c r="H111" s="13"/>
      <c r="I111" s="13"/>
      <c r="J111" s="13"/>
      <c r="K111" s="13"/>
      <c r="L111" s="13"/>
      <c r="M111" s="13"/>
      <c r="N111" s="13"/>
    </row>
    <row r="112" ht="15.75" customHeight="1">
      <c r="D112" s="13"/>
      <c r="F112" s="13"/>
      <c r="G112" s="13"/>
      <c r="H112" s="13"/>
      <c r="I112" s="13"/>
      <c r="J112" s="13"/>
      <c r="K112" s="13"/>
      <c r="L112" s="13"/>
      <c r="M112" s="13"/>
      <c r="N112" s="13"/>
    </row>
    <row r="113" ht="15.75" customHeight="1">
      <c r="D113" s="13"/>
      <c r="F113" s="13"/>
      <c r="G113" s="13"/>
      <c r="H113" s="13"/>
      <c r="I113" s="13"/>
      <c r="J113" s="13"/>
      <c r="K113" s="13"/>
      <c r="L113" s="13"/>
      <c r="M113" s="13"/>
      <c r="N113" s="13"/>
    </row>
    <row r="114" ht="15.75" customHeight="1">
      <c r="D114" s="13"/>
      <c r="F114" s="13"/>
      <c r="G114" s="13"/>
      <c r="H114" s="13"/>
      <c r="I114" s="13"/>
      <c r="J114" s="13"/>
      <c r="K114" s="13"/>
      <c r="L114" s="13"/>
      <c r="M114" s="13"/>
      <c r="N114" s="13"/>
    </row>
    <row r="115" ht="15.75" customHeight="1">
      <c r="D115" s="13"/>
      <c r="F115" s="13"/>
      <c r="G115" s="13"/>
      <c r="H115" s="13"/>
      <c r="I115" s="13"/>
      <c r="J115" s="13"/>
      <c r="K115" s="13"/>
      <c r="L115" s="13"/>
      <c r="M115" s="13"/>
      <c r="N115" s="13"/>
    </row>
    <row r="116" ht="15.75" customHeight="1">
      <c r="D116" s="13"/>
      <c r="F116" s="13"/>
      <c r="G116" s="13"/>
      <c r="H116" s="13"/>
      <c r="I116" s="13"/>
      <c r="J116" s="13"/>
      <c r="K116" s="13"/>
      <c r="L116" s="13"/>
      <c r="M116" s="13"/>
      <c r="N116" s="13"/>
    </row>
    <row r="117" ht="15.75" customHeight="1">
      <c r="D117" s="13"/>
      <c r="F117" s="13"/>
      <c r="G117" s="13"/>
      <c r="H117" s="13"/>
      <c r="I117" s="13"/>
      <c r="J117" s="13"/>
      <c r="K117" s="13"/>
      <c r="L117" s="13"/>
      <c r="M117" s="13"/>
      <c r="N117" s="13"/>
    </row>
    <row r="118" ht="15.75" customHeight="1">
      <c r="D118" s="13"/>
      <c r="F118" s="13"/>
      <c r="G118" s="13"/>
      <c r="H118" s="13"/>
      <c r="I118" s="13"/>
      <c r="J118" s="13"/>
      <c r="K118" s="13"/>
      <c r="L118" s="13"/>
      <c r="M118" s="13"/>
      <c r="N118" s="13"/>
    </row>
    <row r="119" ht="15.75" customHeight="1">
      <c r="D119" s="13"/>
      <c r="F119" s="13"/>
      <c r="G119" s="13"/>
      <c r="H119" s="13"/>
      <c r="I119" s="13"/>
      <c r="J119" s="13"/>
      <c r="K119" s="13"/>
      <c r="L119" s="13"/>
      <c r="M119" s="13"/>
      <c r="N119" s="13"/>
    </row>
    <row r="120" ht="15.75" customHeight="1">
      <c r="D120" s="13"/>
      <c r="F120" s="13"/>
      <c r="G120" s="13"/>
      <c r="H120" s="13"/>
      <c r="I120" s="13"/>
      <c r="J120" s="13"/>
      <c r="K120" s="13"/>
      <c r="L120" s="13"/>
      <c r="M120" s="13"/>
      <c r="N120" s="13"/>
    </row>
    <row r="121" ht="15.75" customHeight="1">
      <c r="D121" s="13"/>
      <c r="F121" s="13"/>
      <c r="G121" s="13"/>
      <c r="H121" s="13"/>
      <c r="I121" s="13"/>
      <c r="J121" s="13"/>
      <c r="K121" s="13"/>
      <c r="L121" s="13"/>
      <c r="M121" s="13"/>
      <c r="N121" s="13"/>
    </row>
    <row r="122" ht="15.75" customHeight="1">
      <c r="D122" s="13"/>
      <c r="F122" s="13"/>
      <c r="G122" s="13"/>
      <c r="H122" s="13"/>
      <c r="I122" s="13"/>
      <c r="J122" s="13"/>
      <c r="K122" s="13"/>
      <c r="L122" s="13"/>
      <c r="M122" s="13"/>
      <c r="N122" s="13"/>
    </row>
    <row r="123" ht="15.75" customHeight="1">
      <c r="D123" s="13"/>
      <c r="F123" s="13"/>
      <c r="G123" s="13"/>
      <c r="H123" s="13"/>
      <c r="I123" s="13"/>
      <c r="J123" s="13"/>
      <c r="K123" s="13"/>
      <c r="L123" s="13"/>
      <c r="M123" s="13"/>
      <c r="N123" s="13"/>
    </row>
    <row r="124" ht="15.75" customHeight="1">
      <c r="D124" s="13"/>
      <c r="F124" s="13"/>
      <c r="G124" s="13"/>
      <c r="H124" s="13"/>
      <c r="I124" s="13"/>
      <c r="J124" s="13"/>
      <c r="K124" s="13"/>
      <c r="L124" s="13"/>
      <c r="M124" s="13"/>
      <c r="N124" s="13"/>
    </row>
    <row r="125" ht="15.75" customHeight="1">
      <c r="D125" s="13"/>
      <c r="F125" s="13"/>
      <c r="G125" s="13"/>
      <c r="H125" s="13"/>
      <c r="I125" s="13"/>
      <c r="J125" s="13"/>
      <c r="K125" s="13"/>
      <c r="L125" s="13"/>
      <c r="M125" s="13"/>
      <c r="N125" s="13"/>
    </row>
    <row r="126" ht="15.75" customHeight="1">
      <c r="D126" s="13"/>
      <c r="F126" s="13"/>
      <c r="G126" s="13"/>
      <c r="H126" s="13"/>
      <c r="I126" s="13"/>
      <c r="J126" s="13"/>
      <c r="K126" s="13"/>
      <c r="L126" s="13"/>
      <c r="M126" s="13"/>
      <c r="N126" s="13"/>
    </row>
    <row r="127" ht="15.75" customHeight="1">
      <c r="D127" s="13"/>
      <c r="F127" s="13"/>
      <c r="G127" s="13"/>
      <c r="H127" s="13"/>
      <c r="I127" s="13"/>
      <c r="J127" s="13"/>
      <c r="K127" s="13"/>
      <c r="L127" s="13"/>
      <c r="M127" s="13"/>
      <c r="N127" s="13"/>
    </row>
    <row r="128" ht="15.75" customHeight="1">
      <c r="D128" s="13"/>
      <c r="F128" s="13"/>
      <c r="G128" s="13"/>
      <c r="H128" s="13"/>
      <c r="I128" s="13"/>
      <c r="J128" s="13"/>
      <c r="K128" s="13"/>
      <c r="L128" s="13"/>
      <c r="M128" s="13"/>
      <c r="N128" s="13"/>
    </row>
    <row r="129" ht="15.75" customHeight="1">
      <c r="D129" s="13"/>
      <c r="F129" s="13"/>
      <c r="G129" s="13"/>
      <c r="H129" s="13"/>
      <c r="I129" s="13"/>
      <c r="J129" s="13"/>
      <c r="K129" s="13"/>
      <c r="L129" s="13"/>
      <c r="M129" s="13"/>
      <c r="N129" s="13"/>
    </row>
    <row r="130" ht="15.75" customHeight="1">
      <c r="D130" s="13"/>
      <c r="F130" s="13"/>
      <c r="G130" s="13"/>
      <c r="H130" s="13"/>
      <c r="I130" s="13"/>
      <c r="J130" s="13"/>
      <c r="K130" s="13"/>
      <c r="L130" s="13"/>
      <c r="M130" s="13"/>
      <c r="N130" s="13"/>
    </row>
    <row r="131" ht="15.75" customHeight="1">
      <c r="D131" s="13"/>
      <c r="F131" s="13"/>
      <c r="G131" s="13"/>
      <c r="H131" s="13"/>
      <c r="I131" s="13"/>
      <c r="J131" s="13"/>
      <c r="K131" s="13"/>
      <c r="L131" s="13"/>
      <c r="M131" s="13"/>
      <c r="N131" s="13"/>
    </row>
    <row r="132" ht="15.75" customHeight="1">
      <c r="D132" s="13"/>
      <c r="F132" s="13"/>
      <c r="G132" s="13"/>
      <c r="H132" s="13"/>
      <c r="I132" s="13"/>
      <c r="J132" s="13"/>
      <c r="K132" s="13"/>
      <c r="L132" s="13"/>
      <c r="M132" s="13"/>
      <c r="N132" s="13"/>
    </row>
    <row r="133" ht="15.75" customHeight="1">
      <c r="D133" s="13"/>
      <c r="F133" s="13"/>
      <c r="G133" s="13"/>
      <c r="H133" s="13"/>
      <c r="I133" s="13"/>
      <c r="J133" s="13"/>
      <c r="K133" s="13"/>
      <c r="L133" s="13"/>
      <c r="M133" s="13"/>
      <c r="N133" s="13"/>
    </row>
    <row r="134" ht="15.75" customHeight="1">
      <c r="D134" s="13"/>
      <c r="F134" s="13"/>
      <c r="G134" s="13"/>
      <c r="H134" s="13"/>
      <c r="I134" s="13"/>
      <c r="J134" s="13"/>
      <c r="K134" s="13"/>
      <c r="L134" s="13"/>
      <c r="M134" s="13"/>
      <c r="N134" s="13"/>
    </row>
    <row r="135" ht="15.75" customHeight="1">
      <c r="D135" s="13"/>
      <c r="F135" s="13"/>
      <c r="G135" s="13"/>
      <c r="H135" s="13"/>
      <c r="I135" s="13"/>
      <c r="J135" s="13"/>
      <c r="K135" s="13"/>
      <c r="L135" s="13"/>
      <c r="M135" s="13"/>
      <c r="N135" s="13"/>
    </row>
    <row r="136" ht="15.75" customHeight="1">
      <c r="D136" s="13"/>
      <c r="F136" s="13"/>
      <c r="G136" s="13"/>
      <c r="H136" s="13"/>
      <c r="I136" s="13"/>
      <c r="J136" s="13"/>
      <c r="K136" s="13"/>
      <c r="L136" s="13"/>
      <c r="M136" s="13"/>
      <c r="N136" s="13"/>
    </row>
    <row r="137" ht="15.75" customHeight="1">
      <c r="D137" s="13"/>
      <c r="F137" s="13"/>
      <c r="G137" s="13"/>
      <c r="H137" s="13"/>
      <c r="I137" s="13"/>
      <c r="J137" s="13"/>
      <c r="K137" s="13"/>
      <c r="L137" s="13"/>
      <c r="M137" s="13"/>
      <c r="N137" s="13"/>
    </row>
    <row r="138" ht="15.75" customHeight="1">
      <c r="D138" s="13"/>
      <c r="F138" s="13"/>
      <c r="G138" s="13"/>
      <c r="H138" s="13"/>
      <c r="I138" s="13"/>
      <c r="J138" s="13"/>
      <c r="K138" s="13"/>
      <c r="L138" s="13"/>
      <c r="M138" s="13"/>
      <c r="N138" s="13"/>
    </row>
    <row r="139" ht="15.75" customHeight="1">
      <c r="D139" s="13"/>
      <c r="F139" s="13"/>
      <c r="G139" s="13"/>
      <c r="H139" s="13"/>
      <c r="I139" s="13"/>
      <c r="J139" s="13"/>
      <c r="K139" s="13"/>
      <c r="L139" s="13"/>
      <c r="M139" s="13"/>
      <c r="N139" s="13"/>
    </row>
    <row r="140" ht="15.75" customHeight="1">
      <c r="D140" s="13"/>
      <c r="F140" s="13"/>
      <c r="G140" s="13"/>
      <c r="H140" s="13"/>
      <c r="I140" s="13"/>
      <c r="J140" s="13"/>
      <c r="K140" s="13"/>
      <c r="L140" s="13"/>
      <c r="M140" s="13"/>
      <c r="N140" s="13"/>
    </row>
    <row r="141" ht="15.75" customHeight="1">
      <c r="D141" s="13"/>
      <c r="F141" s="13"/>
      <c r="G141" s="13"/>
      <c r="H141" s="13"/>
      <c r="I141" s="13"/>
      <c r="J141" s="13"/>
      <c r="K141" s="13"/>
      <c r="L141" s="13"/>
      <c r="M141" s="13"/>
      <c r="N141" s="13"/>
    </row>
    <row r="142" ht="15.75" customHeight="1">
      <c r="D142" s="13"/>
      <c r="F142" s="13"/>
      <c r="G142" s="13"/>
      <c r="H142" s="13"/>
      <c r="I142" s="13"/>
      <c r="J142" s="13"/>
      <c r="K142" s="13"/>
      <c r="L142" s="13"/>
      <c r="M142" s="13"/>
      <c r="N142" s="13"/>
    </row>
    <row r="143" ht="15.75" customHeight="1">
      <c r="D143" s="13"/>
      <c r="F143" s="13"/>
      <c r="G143" s="13"/>
      <c r="H143" s="13"/>
      <c r="I143" s="13"/>
      <c r="J143" s="13"/>
      <c r="K143" s="13"/>
      <c r="L143" s="13"/>
      <c r="M143" s="13"/>
      <c r="N143" s="13"/>
    </row>
    <row r="144" ht="15.75" customHeight="1">
      <c r="D144" s="13"/>
      <c r="F144" s="13"/>
      <c r="G144" s="13"/>
      <c r="H144" s="13"/>
      <c r="I144" s="13"/>
      <c r="J144" s="13"/>
      <c r="K144" s="13"/>
      <c r="L144" s="13"/>
      <c r="M144" s="13"/>
      <c r="N144" s="13"/>
    </row>
    <row r="145" ht="15.75" customHeight="1">
      <c r="D145" s="13"/>
      <c r="F145" s="13"/>
      <c r="G145" s="13"/>
      <c r="H145" s="13"/>
      <c r="I145" s="13"/>
      <c r="J145" s="13"/>
      <c r="K145" s="13"/>
      <c r="L145" s="13"/>
      <c r="M145" s="13"/>
      <c r="N145" s="13"/>
    </row>
    <row r="146" ht="15.75" customHeight="1">
      <c r="D146" s="13"/>
      <c r="F146" s="13"/>
      <c r="G146" s="13"/>
      <c r="H146" s="13"/>
      <c r="I146" s="13"/>
      <c r="J146" s="13"/>
      <c r="K146" s="13"/>
      <c r="L146" s="13"/>
      <c r="M146" s="13"/>
      <c r="N146" s="13"/>
    </row>
    <row r="147" ht="15.75" customHeight="1">
      <c r="D147" s="13"/>
      <c r="F147" s="13"/>
      <c r="G147" s="13"/>
      <c r="H147" s="13"/>
      <c r="I147" s="13"/>
      <c r="J147" s="13"/>
      <c r="K147" s="13"/>
      <c r="L147" s="13"/>
      <c r="M147" s="13"/>
      <c r="N147" s="13"/>
    </row>
    <row r="148" ht="15.75" customHeight="1">
      <c r="D148" s="13"/>
      <c r="F148" s="13"/>
      <c r="G148" s="13"/>
      <c r="H148" s="13"/>
      <c r="I148" s="13"/>
      <c r="J148" s="13"/>
      <c r="K148" s="13"/>
      <c r="L148" s="13"/>
      <c r="M148" s="13"/>
      <c r="N148" s="13"/>
    </row>
    <row r="149" ht="15.75" customHeight="1">
      <c r="D149" s="13"/>
      <c r="F149" s="13"/>
      <c r="G149" s="13"/>
      <c r="H149" s="13"/>
      <c r="I149" s="13"/>
      <c r="J149" s="13"/>
      <c r="K149" s="13"/>
      <c r="L149" s="13"/>
      <c r="M149" s="13"/>
      <c r="N149" s="13"/>
    </row>
    <row r="150" ht="15.75" customHeight="1">
      <c r="D150" s="13"/>
      <c r="F150" s="13"/>
      <c r="G150" s="13"/>
      <c r="H150" s="13"/>
      <c r="I150" s="13"/>
      <c r="J150" s="13"/>
      <c r="K150" s="13"/>
      <c r="L150" s="13"/>
      <c r="M150" s="13"/>
      <c r="N150" s="13"/>
    </row>
    <row r="151" ht="15.75" customHeight="1">
      <c r="D151" s="13"/>
      <c r="F151" s="13"/>
      <c r="G151" s="13"/>
      <c r="H151" s="13"/>
      <c r="I151" s="13"/>
      <c r="J151" s="13"/>
      <c r="K151" s="13"/>
      <c r="L151" s="13"/>
      <c r="M151" s="13"/>
      <c r="N151" s="13"/>
    </row>
    <row r="152" ht="15.75" customHeight="1">
      <c r="D152" s="13"/>
      <c r="F152" s="13"/>
      <c r="G152" s="13"/>
      <c r="H152" s="13"/>
      <c r="I152" s="13"/>
      <c r="J152" s="13"/>
      <c r="K152" s="13"/>
      <c r="L152" s="13"/>
      <c r="M152" s="13"/>
      <c r="N152" s="13"/>
    </row>
    <row r="153" ht="15.75" customHeight="1">
      <c r="D153" s="13"/>
      <c r="F153" s="13"/>
      <c r="G153" s="13"/>
      <c r="H153" s="13"/>
      <c r="I153" s="13"/>
      <c r="J153" s="13"/>
      <c r="K153" s="13"/>
      <c r="L153" s="13"/>
      <c r="M153" s="13"/>
      <c r="N153" s="13"/>
    </row>
    <row r="154" ht="15.75" customHeight="1">
      <c r="D154" s="13"/>
      <c r="F154" s="13"/>
      <c r="G154" s="13"/>
      <c r="H154" s="13"/>
      <c r="I154" s="13"/>
      <c r="J154" s="13"/>
      <c r="K154" s="13"/>
      <c r="L154" s="13"/>
      <c r="M154" s="13"/>
      <c r="N154" s="13"/>
    </row>
    <row r="155" ht="15.75" customHeight="1">
      <c r="D155" s="13"/>
      <c r="F155" s="13"/>
      <c r="G155" s="13"/>
      <c r="H155" s="13"/>
      <c r="I155" s="13"/>
      <c r="J155" s="13"/>
      <c r="K155" s="13"/>
      <c r="L155" s="13"/>
      <c r="M155" s="13"/>
      <c r="N155" s="13"/>
    </row>
    <row r="156" ht="15.75" customHeight="1">
      <c r="D156" s="13"/>
      <c r="F156" s="13"/>
      <c r="G156" s="13"/>
      <c r="H156" s="13"/>
      <c r="I156" s="13"/>
      <c r="J156" s="13"/>
      <c r="K156" s="13"/>
      <c r="L156" s="13"/>
      <c r="M156" s="13"/>
      <c r="N156" s="13"/>
    </row>
    <row r="157" ht="15.75" customHeight="1">
      <c r="D157" s="13"/>
      <c r="F157" s="13"/>
      <c r="G157" s="13"/>
      <c r="H157" s="13"/>
      <c r="I157" s="13"/>
      <c r="J157" s="13"/>
      <c r="K157" s="13"/>
      <c r="L157" s="13"/>
      <c r="M157" s="13"/>
      <c r="N157" s="13"/>
    </row>
    <row r="158" ht="15.75" customHeight="1">
      <c r="D158" s="13"/>
      <c r="F158" s="13"/>
      <c r="G158" s="13"/>
      <c r="H158" s="13"/>
      <c r="I158" s="13"/>
      <c r="J158" s="13"/>
      <c r="K158" s="13"/>
      <c r="L158" s="13"/>
      <c r="M158" s="13"/>
      <c r="N158" s="13"/>
    </row>
    <row r="159" ht="15.75" customHeight="1">
      <c r="D159" s="13"/>
      <c r="F159" s="13"/>
      <c r="G159" s="13"/>
      <c r="H159" s="13"/>
      <c r="I159" s="13"/>
      <c r="J159" s="13"/>
      <c r="K159" s="13"/>
      <c r="L159" s="13"/>
      <c r="M159" s="13"/>
      <c r="N159" s="13"/>
    </row>
    <row r="160" ht="15.75" customHeight="1">
      <c r="D160" s="13"/>
      <c r="F160" s="13"/>
      <c r="G160" s="13"/>
      <c r="H160" s="13"/>
      <c r="I160" s="13"/>
      <c r="J160" s="13"/>
      <c r="K160" s="13"/>
      <c r="L160" s="13"/>
      <c r="M160" s="13"/>
      <c r="N160" s="13"/>
    </row>
    <row r="161" ht="15.75" customHeight="1">
      <c r="D161" s="13"/>
      <c r="F161" s="13"/>
      <c r="G161" s="13"/>
      <c r="H161" s="13"/>
      <c r="I161" s="13"/>
      <c r="J161" s="13"/>
      <c r="K161" s="13"/>
      <c r="L161" s="13"/>
      <c r="M161" s="13"/>
      <c r="N161" s="13"/>
    </row>
    <row r="162" ht="15.75" customHeight="1">
      <c r="D162" s="13"/>
      <c r="F162" s="13"/>
      <c r="G162" s="13"/>
      <c r="H162" s="13"/>
      <c r="I162" s="13"/>
      <c r="J162" s="13"/>
      <c r="K162" s="13"/>
      <c r="L162" s="13"/>
      <c r="M162" s="13"/>
      <c r="N162" s="13"/>
    </row>
    <row r="163" ht="15.75" customHeight="1">
      <c r="D163" s="13"/>
      <c r="F163" s="13"/>
      <c r="G163" s="13"/>
      <c r="H163" s="13"/>
      <c r="I163" s="13"/>
      <c r="J163" s="13"/>
      <c r="K163" s="13"/>
      <c r="L163" s="13"/>
      <c r="M163" s="13"/>
      <c r="N163" s="13"/>
    </row>
    <row r="164" ht="15.75" customHeight="1">
      <c r="D164" s="13"/>
      <c r="F164" s="13"/>
      <c r="G164" s="13"/>
      <c r="H164" s="13"/>
      <c r="I164" s="13"/>
      <c r="J164" s="13"/>
      <c r="K164" s="13"/>
      <c r="L164" s="13"/>
      <c r="M164" s="13"/>
      <c r="N164" s="13"/>
    </row>
    <row r="165" ht="15.75" customHeight="1">
      <c r="D165" s="13"/>
      <c r="F165" s="13"/>
      <c r="G165" s="13"/>
      <c r="H165" s="13"/>
      <c r="I165" s="13"/>
      <c r="J165" s="13"/>
      <c r="K165" s="13"/>
      <c r="L165" s="13"/>
      <c r="M165" s="13"/>
      <c r="N165" s="13"/>
    </row>
    <row r="166" ht="15.75" customHeight="1">
      <c r="D166" s="13"/>
      <c r="F166" s="13"/>
      <c r="G166" s="13"/>
      <c r="H166" s="13"/>
      <c r="I166" s="13"/>
      <c r="J166" s="13"/>
      <c r="K166" s="13"/>
      <c r="L166" s="13"/>
      <c r="M166" s="13"/>
      <c r="N166" s="13"/>
    </row>
    <row r="167" ht="15.75" customHeight="1">
      <c r="D167" s="13"/>
      <c r="F167" s="13"/>
      <c r="G167" s="13"/>
      <c r="H167" s="13"/>
      <c r="I167" s="13"/>
      <c r="J167" s="13"/>
      <c r="K167" s="13"/>
      <c r="L167" s="13"/>
      <c r="M167" s="13"/>
      <c r="N167" s="13"/>
    </row>
    <row r="168" ht="15.75" customHeight="1">
      <c r="D168" s="13"/>
      <c r="F168" s="13"/>
      <c r="G168" s="13"/>
      <c r="H168" s="13"/>
      <c r="I168" s="13"/>
      <c r="J168" s="13"/>
      <c r="K168" s="13"/>
      <c r="L168" s="13"/>
      <c r="M168" s="13"/>
      <c r="N168" s="13"/>
    </row>
    <row r="169" ht="15.75" customHeight="1">
      <c r="D169" s="13"/>
      <c r="F169" s="13"/>
      <c r="G169" s="13"/>
      <c r="H169" s="13"/>
      <c r="I169" s="13"/>
      <c r="J169" s="13"/>
      <c r="K169" s="13"/>
      <c r="L169" s="13"/>
      <c r="M169" s="13"/>
      <c r="N169" s="13"/>
    </row>
    <row r="170" ht="15.75" customHeight="1">
      <c r="D170" s="13"/>
      <c r="F170" s="13"/>
      <c r="G170" s="13"/>
      <c r="H170" s="13"/>
      <c r="I170" s="13"/>
      <c r="J170" s="13"/>
      <c r="K170" s="13"/>
      <c r="L170" s="13"/>
      <c r="M170" s="13"/>
      <c r="N170" s="13"/>
    </row>
    <row r="171" ht="15.75" customHeight="1">
      <c r="D171" s="13"/>
      <c r="F171" s="13"/>
      <c r="G171" s="13"/>
      <c r="H171" s="13"/>
      <c r="I171" s="13"/>
      <c r="J171" s="13"/>
      <c r="K171" s="13"/>
      <c r="L171" s="13"/>
      <c r="M171" s="13"/>
      <c r="N171" s="13"/>
    </row>
    <row r="172" ht="15.75" customHeight="1">
      <c r="D172" s="13"/>
      <c r="F172" s="13"/>
      <c r="G172" s="13"/>
      <c r="H172" s="13"/>
      <c r="I172" s="13"/>
      <c r="J172" s="13"/>
      <c r="K172" s="13"/>
      <c r="L172" s="13"/>
      <c r="M172" s="13"/>
      <c r="N172" s="13"/>
    </row>
    <row r="173" ht="15.75" customHeight="1">
      <c r="D173" s="13"/>
      <c r="F173" s="13"/>
      <c r="G173" s="13"/>
      <c r="H173" s="13"/>
      <c r="I173" s="13"/>
      <c r="J173" s="13"/>
      <c r="K173" s="13"/>
      <c r="L173" s="13"/>
      <c r="M173" s="13"/>
      <c r="N173" s="13"/>
    </row>
    <row r="174" ht="15.75" customHeight="1">
      <c r="D174" s="13"/>
      <c r="F174" s="13"/>
      <c r="G174" s="13"/>
      <c r="H174" s="13"/>
      <c r="I174" s="13"/>
      <c r="J174" s="13"/>
      <c r="K174" s="13"/>
      <c r="L174" s="13"/>
      <c r="M174" s="13"/>
      <c r="N174" s="13"/>
    </row>
    <row r="175" ht="15.75" customHeight="1">
      <c r="D175" s="13"/>
      <c r="F175" s="13"/>
      <c r="G175" s="13"/>
      <c r="H175" s="13"/>
      <c r="I175" s="13"/>
      <c r="J175" s="13"/>
      <c r="K175" s="13"/>
      <c r="L175" s="13"/>
      <c r="M175" s="13"/>
      <c r="N175" s="13"/>
    </row>
    <row r="176" ht="15.75" customHeight="1">
      <c r="D176" s="13"/>
      <c r="F176" s="13"/>
      <c r="G176" s="13"/>
      <c r="H176" s="13"/>
      <c r="I176" s="13"/>
      <c r="J176" s="13"/>
      <c r="K176" s="13"/>
      <c r="L176" s="13"/>
      <c r="M176" s="13"/>
      <c r="N176" s="13"/>
    </row>
    <row r="177" ht="15.75" customHeight="1">
      <c r="D177" s="13"/>
      <c r="F177" s="13"/>
      <c r="G177" s="13"/>
      <c r="H177" s="13"/>
      <c r="I177" s="13"/>
      <c r="J177" s="13"/>
      <c r="K177" s="13"/>
      <c r="L177" s="13"/>
      <c r="M177" s="13"/>
      <c r="N177" s="13"/>
    </row>
    <row r="178" ht="15.75" customHeight="1">
      <c r="D178" s="13"/>
      <c r="F178" s="13"/>
      <c r="G178" s="13"/>
      <c r="H178" s="13"/>
      <c r="I178" s="13"/>
      <c r="J178" s="13"/>
      <c r="K178" s="13"/>
      <c r="L178" s="13"/>
      <c r="M178" s="13"/>
      <c r="N178" s="13"/>
    </row>
    <row r="179" ht="15.75" customHeight="1">
      <c r="D179" s="13"/>
      <c r="F179" s="13"/>
      <c r="G179" s="13"/>
      <c r="H179" s="13"/>
      <c r="I179" s="13"/>
      <c r="J179" s="13"/>
      <c r="K179" s="13"/>
      <c r="L179" s="13"/>
      <c r="M179" s="13"/>
      <c r="N179" s="13"/>
    </row>
    <row r="180" ht="15.75" customHeight="1">
      <c r="D180" s="13"/>
      <c r="F180" s="13"/>
      <c r="G180" s="13"/>
      <c r="H180" s="13"/>
      <c r="I180" s="13"/>
      <c r="J180" s="13"/>
      <c r="K180" s="13"/>
      <c r="L180" s="13"/>
      <c r="M180" s="13"/>
      <c r="N180" s="13"/>
    </row>
    <row r="181" ht="15.75" customHeight="1">
      <c r="D181" s="13"/>
      <c r="F181" s="13"/>
      <c r="G181" s="13"/>
      <c r="H181" s="13"/>
      <c r="I181" s="13"/>
      <c r="J181" s="13"/>
      <c r="K181" s="13"/>
      <c r="L181" s="13"/>
      <c r="M181" s="13"/>
      <c r="N181" s="13"/>
    </row>
    <row r="182" ht="15.75" customHeight="1">
      <c r="D182" s="13"/>
      <c r="F182" s="13"/>
      <c r="G182" s="13"/>
      <c r="H182" s="13"/>
      <c r="I182" s="13"/>
      <c r="J182" s="13"/>
      <c r="K182" s="13"/>
      <c r="L182" s="13"/>
      <c r="M182" s="13"/>
      <c r="N182" s="13"/>
    </row>
    <row r="183" ht="15.75" customHeight="1">
      <c r="D183" s="13"/>
      <c r="F183" s="13"/>
      <c r="G183" s="13"/>
      <c r="H183" s="13"/>
      <c r="I183" s="13"/>
      <c r="J183" s="13"/>
      <c r="K183" s="13"/>
      <c r="L183" s="13"/>
      <c r="M183" s="13"/>
      <c r="N183" s="13"/>
    </row>
    <row r="184" ht="15.75" customHeight="1">
      <c r="D184" s="13"/>
      <c r="F184" s="13"/>
      <c r="G184" s="13"/>
      <c r="H184" s="13"/>
      <c r="I184" s="13"/>
      <c r="J184" s="13"/>
      <c r="K184" s="13"/>
      <c r="L184" s="13"/>
      <c r="M184" s="13"/>
      <c r="N184" s="13"/>
    </row>
    <row r="185" ht="15.75" customHeight="1">
      <c r="D185" s="13"/>
      <c r="F185" s="13"/>
      <c r="G185" s="13"/>
      <c r="H185" s="13"/>
      <c r="I185" s="13"/>
      <c r="J185" s="13"/>
      <c r="K185" s="13"/>
      <c r="L185" s="13"/>
      <c r="M185" s="13"/>
      <c r="N185" s="13"/>
    </row>
    <row r="186" ht="15.75" customHeight="1">
      <c r="D186" s="13"/>
      <c r="F186" s="13"/>
      <c r="G186" s="13"/>
      <c r="H186" s="13"/>
      <c r="I186" s="13"/>
      <c r="J186" s="13"/>
      <c r="K186" s="13"/>
      <c r="L186" s="13"/>
      <c r="M186" s="13"/>
      <c r="N186" s="13"/>
    </row>
    <row r="187" ht="15.75" customHeight="1">
      <c r="D187" s="13"/>
      <c r="F187" s="13"/>
      <c r="G187" s="13"/>
      <c r="H187" s="13"/>
      <c r="I187" s="13"/>
      <c r="J187" s="13"/>
      <c r="K187" s="13"/>
      <c r="L187" s="13"/>
      <c r="M187" s="13"/>
      <c r="N187" s="13"/>
    </row>
    <row r="188" ht="15.75" customHeight="1">
      <c r="D188" s="13"/>
      <c r="F188" s="13"/>
      <c r="G188" s="13"/>
      <c r="H188" s="13"/>
      <c r="I188" s="13"/>
      <c r="J188" s="13"/>
      <c r="K188" s="13"/>
      <c r="L188" s="13"/>
      <c r="M188" s="13"/>
      <c r="N188" s="13"/>
    </row>
    <row r="189" ht="15.75" customHeight="1">
      <c r="D189" s="13"/>
      <c r="F189" s="13"/>
      <c r="G189" s="13"/>
      <c r="H189" s="13"/>
      <c r="I189" s="13"/>
      <c r="J189" s="13"/>
      <c r="K189" s="13"/>
      <c r="L189" s="13"/>
      <c r="M189" s="13"/>
      <c r="N189" s="13"/>
    </row>
    <row r="190" ht="15.75" customHeight="1">
      <c r="D190" s="13"/>
      <c r="F190" s="13"/>
      <c r="G190" s="13"/>
      <c r="H190" s="13"/>
      <c r="I190" s="13"/>
      <c r="J190" s="13"/>
      <c r="K190" s="13"/>
      <c r="L190" s="13"/>
      <c r="M190" s="13"/>
      <c r="N190" s="13"/>
    </row>
    <row r="191" ht="15.75" customHeight="1">
      <c r="D191" s="13"/>
      <c r="F191" s="13"/>
      <c r="G191" s="13"/>
      <c r="H191" s="13"/>
      <c r="I191" s="13"/>
      <c r="J191" s="13"/>
      <c r="K191" s="13"/>
      <c r="L191" s="13"/>
      <c r="M191" s="13"/>
      <c r="N191" s="13"/>
    </row>
    <row r="192" ht="15.75" customHeight="1">
      <c r="D192" s="13"/>
      <c r="F192" s="13"/>
      <c r="G192" s="13"/>
      <c r="H192" s="13"/>
      <c r="I192" s="13"/>
      <c r="J192" s="13"/>
      <c r="K192" s="13"/>
      <c r="L192" s="13"/>
      <c r="M192" s="13"/>
      <c r="N192" s="13"/>
    </row>
    <row r="193" ht="15.75" customHeight="1">
      <c r="D193" s="13"/>
      <c r="F193" s="13"/>
      <c r="G193" s="13"/>
      <c r="H193" s="13"/>
      <c r="I193" s="13"/>
      <c r="J193" s="13"/>
      <c r="K193" s="13"/>
      <c r="L193" s="13"/>
      <c r="M193" s="13"/>
      <c r="N193" s="13"/>
    </row>
    <row r="194" ht="15.75" customHeight="1">
      <c r="D194" s="13"/>
      <c r="F194" s="13"/>
      <c r="G194" s="13"/>
      <c r="H194" s="13"/>
      <c r="I194" s="13"/>
      <c r="J194" s="13"/>
      <c r="K194" s="13"/>
      <c r="L194" s="13"/>
      <c r="M194" s="13"/>
      <c r="N194" s="13"/>
    </row>
    <row r="195" ht="15.75" customHeight="1">
      <c r="D195" s="13"/>
      <c r="F195" s="13"/>
      <c r="G195" s="13"/>
      <c r="H195" s="13"/>
      <c r="I195" s="13"/>
      <c r="J195" s="13"/>
      <c r="K195" s="13"/>
      <c r="L195" s="13"/>
      <c r="M195" s="13"/>
      <c r="N195" s="13"/>
    </row>
    <row r="196" ht="15.75" customHeight="1">
      <c r="D196" s="13"/>
      <c r="F196" s="13"/>
      <c r="G196" s="13"/>
      <c r="H196" s="13"/>
      <c r="I196" s="13"/>
      <c r="J196" s="13"/>
      <c r="K196" s="13"/>
      <c r="L196" s="13"/>
      <c r="M196" s="13"/>
      <c r="N196" s="13"/>
    </row>
    <row r="197" ht="15.75" customHeight="1">
      <c r="D197" s="13"/>
      <c r="F197" s="13"/>
      <c r="G197" s="13"/>
      <c r="H197" s="13"/>
      <c r="I197" s="13"/>
      <c r="J197" s="13"/>
      <c r="K197" s="13"/>
      <c r="L197" s="13"/>
      <c r="M197" s="13"/>
      <c r="N197" s="13"/>
    </row>
    <row r="198" ht="15.75" customHeight="1">
      <c r="D198" s="13"/>
      <c r="F198" s="13"/>
      <c r="G198" s="13"/>
      <c r="H198" s="13"/>
      <c r="I198" s="13"/>
      <c r="J198" s="13"/>
      <c r="K198" s="13"/>
      <c r="L198" s="13"/>
      <c r="M198" s="13"/>
      <c r="N198" s="13"/>
    </row>
    <row r="199" ht="15.75" customHeight="1">
      <c r="D199" s="13"/>
      <c r="F199" s="13"/>
      <c r="G199" s="13"/>
      <c r="H199" s="13"/>
      <c r="I199" s="13"/>
      <c r="J199" s="13"/>
      <c r="K199" s="13"/>
      <c r="L199" s="13"/>
      <c r="M199" s="13"/>
      <c r="N199" s="13"/>
    </row>
    <row r="200" ht="15.75" customHeight="1">
      <c r="D200" s="13"/>
      <c r="F200" s="13"/>
      <c r="G200" s="13"/>
      <c r="H200" s="13"/>
      <c r="I200" s="13"/>
      <c r="J200" s="13"/>
      <c r="K200" s="13"/>
      <c r="L200" s="13"/>
      <c r="M200" s="13"/>
      <c r="N200" s="13"/>
    </row>
    <row r="201" ht="15.75" customHeight="1">
      <c r="D201" s="13"/>
      <c r="F201" s="13"/>
      <c r="G201" s="13"/>
      <c r="H201" s="13"/>
      <c r="I201" s="13"/>
      <c r="J201" s="13"/>
      <c r="K201" s="13"/>
      <c r="L201" s="13"/>
      <c r="M201" s="13"/>
      <c r="N201" s="13"/>
    </row>
    <row r="202" ht="15.75" customHeight="1">
      <c r="D202" s="13"/>
      <c r="F202" s="13"/>
      <c r="G202" s="13"/>
      <c r="H202" s="13"/>
      <c r="I202" s="13"/>
      <c r="J202" s="13"/>
      <c r="K202" s="13"/>
      <c r="L202" s="13"/>
      <c r="M202" s="13"/>
      <c r="N202" s="13"/>
    </row>
    <row r="203" ht="15.75" customHeight="1">
      <c r="D203" s="13"/>
      <c r="F203" s="13"/>
      <c r="G203" s="13"/>
      <c r="H203" s="13"/>
      <c r="I203" s="13"/>
      <c r="J203" s="13"/>
      <c r="K203" s="13"/>
      <c r="L203" s="13"/>
      <c r="M203" s="13"/>
      <c r="N203" s="13"/>
    </row>
    <row r="204" ht="15.75" customHeight="1">
      <c r="D204" s="13"/>
      <c r="F204" s="13"/>
      <c r="G204" s="13"/>
      <c r="H204" s="13"/>
      <c r="I204" s="13"/>
      <c r="J204" s="13"/>
      <c r="K204" s="13"/>
      <c r="L204" s="13"/>
      <c r="M204" s="13"/>
      <c r="N204" s="13"/>
    </row>
    <row r="205" ht="15.75" customHeight="1">
      <c r="D205" s="13"/>
      <c r="F205" s="13"/>
      <c r="G205" s="13"/>
      <c r="H205" s="13"/>
      <c r="I205" s="13"/>
      <c r="J205" s="13"/>
      <c r="K205" s="13"/>
      <c r="L205" s="13"/>
      <c r="M205" s="13"/>
      <c r="N205" s="13"/>
    </row>
    <row r="206" ht="15.75" customHeight="1">
      <c r="D206" s="13"/>
      <c r="F206" s="13"/>
      <c r="G206" s="13"/>
      <c r="H206" s="13"/>
      <c r="I206" s="13"/>
      <c r="J206" s="13"/>
      <c r="K206" s="13"/>
      <c r="L206" s="13"/>
      <c r="M206" s="13"/>
      <c r="N206" s="13"/>
    </row>
    <row r="207" ht="15.75" customHeight="1">
      <c r="D207" s="13"/>
      <c r="F207" s="13"/>
      <c r="G207" s="13"/>
      <c r="H207" s="13"/>
      <c r="I207" s="13"/>
      <c r="J207" s="13"/>
      <c r="K207" s="13"/>
      <c r="L207" s="13"/>
      <c r="M207" s="13"/>
      <c r="N207" s="13"/>
    </row>
    <row r="208" ht="15.75" customHeight="1">
      <c r="D208" s="13"/>
      <c r="F208" s="13"/>
      <c r="G208" s="13"/>
      <c r="H208" s="13"/>
      <c r="I208" s="13"/>
      <c r="J208" s="13"/>
      <c r="K208" s="13"/>
      <c r="L208" s="13"/>
      <c r="M208" s="13"/>
      <c r="N208" s="13"/>
    </row>
    <row r="209" ht="15.75" customHeight="1">
      <c r="D209" s="13"/>
      <c r="F209" s="13"/>
      <c r="G209" s="13"/>
      <c r="H209" s="13"/>
      <c r="I209" s="13"/>
      <c r="J209" s="13"/>
      <c r="K209" s="13"/>
      <c r="L209" s="13"/>
      <c r="M209" s="13"/>
      <c r="N209" s="13"/>
    </row>
    <row r="210" ht="15.75" customHeight="1">
      <c r="D210" s="13"/>
      <c r="F210" s="13"/>
      <c r="G210" s="13"/>
      <c r="H210" s="13"/>
      <c r="I210" s="13"/>
      <c r="J210" s="13"/>
      <c r="K210" s="13"/>
      <c r="L210" s="13"/>
      <c r="M210" s="13"/>
      <c r="N210" s="13"/>
    </row>
    <row r="211" ht="15.75" customHeight="1">
      <c r="D211" s="13"/>
      <c r="F211" s="13"/>
      <c r="G211" s="13"/>
      <c r="H211" s="13"/>
      <c r="I211" s="13"/>
      <c r="J211" s="13"/>
      <c r="K211" s="13"/>
      <c r="L211" s="13"/>
      <c r="M211" s="13"/>
      <c r="N211" s="13"/>
    </row>
    <row r="212" ht="15.75" customHeight="1">
      <c r="D212" s="13"/>
      <c r="F212" s="13"/>
      <c r="G212" s="13"/>
      <c r="H212" s="13"/>
      <c r="I212" s="13"/>
      <c r="J212" s="13"/>
      <c r="K212" s="13"/>
      <c r="L212" s="13"/>
      <c r="M212" s="13"/>
      <c r="N212" s="13"/>
    </row>
    <row r="213" ht="15.75" customHeight="1">
      <c r="D213" s="13"/>
      <c r="F213" s="13"/>
      <c r="G213" s="13"/>
      <c r="H213" s="13"/>
      <c r="I213" s="13"/>
      <c r="J213" s="13"/>
      <c r="K213" s="13"/>
      <c r="L213" s="13"/>
      <c r="M213" s="13"/>
      <c r="N213" s="13"/>
    </row>
    <row r="214" ht="15.75" customHeight="1">
      <c r="D214" s="13"/>
      <c r="F214" s="13"/>
      <c r="G214" s="13"/>
      <c r="H214" s="13"/>
      <c r="I214" s="13"/>
      <c r="J214" s="13"/>
      <c r="K214" s="13"/>
      <c r="L214" s="13"/>
      <c r="M214" s="13"/>
      <c r="N214" s="13"/>
    </row>
    <row r="215" ht="15.75" customHeight="1">
      <c r="D215" s="13"/>
      <c r="F215" s="13"/>
      <c r="G215" s="13"/>
      <c r="H215" s="13"/>
      <c r="I215" s="13"/>
      <c r="J215" s="13"/>
      <c r="K215" s="13"/>
      <c r="L215" s="13"/>
      <c r="M215" s="13"/>
      <c r="N215" s="13"/>
    </row>
    <row r="216" ht="15.75" customHeight="1">
      <c r="D216" s="13"/>
      <c r="F216" s="13"/>
      <c r="G216" s="13"/>
      <c r="H216" s="13"/>
      <c r="I216" s="13"/>
      <c r="J216" s="13"/>
      <c r="K216" s="13"/>
      <c r="L216" s="13"/>
      <c r="M216" s="13"/>
      <c r="N216" s="13"/>
    </row>
    <row r="217" ht="15.75" customHeight="1">
      <c r="D217" s="13"/>
      <c r="F217" s="13"/>
      <c r="G217" s="13"/>
      <c r="H217" s="13"/>
      <c r="I217" s="13"/>
      <c r="J217" s="13"/>
      <c r="K217" s="13"/>
      <c r="L217" s="13"/>
      <c r="M217" s="13"/>
      <c r="N217" s="13"/>
    </row>
    <row r="218" ht="15.75" customHeight="1">
      <c r="D218" s="13"/>
      <c r="F218" s="13"/>
      <c r="G218" s="13"/>
      <c r="H218" s="13"/>
      <c r="I218" s="13"/>
      <c r="J218" s="13"/>
      <c r="K218" s="13"/>
      <c r="L218" s="13"/>
      <c r="M218" s="13"/>
      <c r="N218" s="13"/>
    </row>
    <row r="219" ht="15.75" customHeight="1">
      <c r="D219" s="13"/>
      <c r="F219" s="13"/>
      <c r="G219" s="13"/>
      <c r="H219" s="13"/>
      <c r="I219" s="13"/>
      <c r="J219" s="13"/>
      <c r="K219" s="13"/>
      <c r="L219" s="13"/>
      <c r="M219" s="13"/>
      <c r="N219" s="13"/>
    </row>
    <row r="220" ht="15.75" customHeight="1">
      <c r="D220" s="13"/>
      <c r="F220" s="13"/>
      <c r="G220" s="13"/>
      <c r="H220" s="13"/>
      <c r="I220" s="13"/>
      <c r="J220" s="13"/>
      <c r="K220" s="13"/>
      <c r="L220" s="13"/>
      <c r="M220" s="13"/>
      <c r="N220" s="1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5.71"/>
    <col customWidth="1" min="2" max="2" width="18.71"/>
    <col customWidth="1" min="3" max="6" width="8.71"/>
  </cols>
  <sheetData>
    <row r="1">
      <c r="A1" s="14" t="s">
        <v>18</v>
      </c>
      <c r="B1" s="14" t="s">
        <v>19</v>
      </c>
    </row>
    <row r="2">
      <c r="A2" s="15" t="s">
        <v>20</v>
      </c>
      <c r="B2" s="13">
        <v>1000.0</v>
      </c>
    </row>
    <row r="3">
      <c r="A3" s="15" t="s">
        <v>21</v>
      </c>
      <c r="B3" s="13">
        <v>160.0</v>
      </c>
    </row>
    <row r="4">
      <c r="A4" s="15" t="s">
        <v>22</v>
      </c>
      <c r="B4" s="13">
        <v>6.0</v>
      </c>
    </row>
    <row r="5">
      <c r="A5" s="15" t="s">
        <v>23</v>
      </c>
      <c r="B5" s="13">
        <v>30.0</v>
      </c>
    </row>
    <row r="6">
      <c r="A6" s="15" t="s">
        <v>24</v>
      </c>
      <c r="B6" s="13">
        <v>916.0</v>
      </c>
    </row>
    <row r="7">
      <c r="B7" s="13"/>
    </row>
    <row r="8">
      <c r="B8" s="13"/>
    </row>
    <row r="9">
      <c r="B9" s="13"/>
    </row>
    <row r="10">
      <c r="B10" s="13"/>
    </row>
    <row r="11">
      <c r="B11" s="13"/>
    </row>
    <row r="12">
      <c r="B12" s="13"/>
    </row>
    <row r="13">
      <c r="B13" s="13"/>
    </row>
    <row r="14">
      <c r="B14" s="13"/>
    </row>
    <row r="15">
      <c r="B15" s="13"/>
    </row>
    <row r="16">
      <c r="B16" s="13"/>
    </row>
    <row r="17">
      <c r="B17" s="13"/>
    </row>
    <row r="18">
      <c r="B18" s="13"/>
    </row>
    <row r="19">
      <c r="B19" s="13"/>
    </row>
    <row r="20">
      <c r="B20" s="13"/>
    </row>
    <row r="21" ht="15.75" customHeight="1">
      <c r="B21" s="13"/>
    </row>
    <row r="22" ht="15.75" customHeight="1">
      <c r="B22" s="13"/>
    </row>
    <row r="23" ht="15.75" customHeight="1">
      <c r="B23" s="13"/>
    </row>
    <row r="24" ht="15.75" customHeight="1">
      <c r="B24" s="13"/>
    </row>
    <row r="25" ht="15.75" customHeight="1">
      <c r="B25" s="13"/>
    </row>
    <row r="26" ht="15.75" customHeight="1">
      <c r="B26" s="13"/>
    </row>
    <row r="27" ht="15.75" customHeight="1">
      <c r="B27" s="13"/>
    </row>
    <row r="28" ht="15.75" customHeight="1">
      <c r="B28" s="13"/>
    </row>
    <row r="29" ht="15.75" customHeight="1">
      <c r="B29" s="13"/>
    </row>
    <row r="30" ht="15.75" customHeight="1">
      <c r="B30" s="13"/>
    </row>
    <row r="31" ht="15.75" customHeight="1">
      <c r="B31" s="13"/>
    </row>
    <row r="32" ht="15.75" customHeight="1">
      <c r="B32" s="13"/>
    </row>
    <row r="33" ht="15.75" customHeight="1">
      <c r="B33" s="13"/>
    </row>
    <row r="34" ht="15.75" customHeight="1">
      <c r="B34" s="13"/>
    </row>
    <row r="35" ht="15.75" customHeight="1">
      <c r="B35" s="13"/>
    </row>
    <row r="36" ht="15.75" customHeight="1">
      <c r="B36" s="13"/>
    </row>
    <row r="37" ht="15.75" customHeight="1">
      <c r="B37" s="13"/>
    </row>
    <row r="38" ht="15.75" customHeight="1">
      <c r="B38" s="13"/>
    </row>
    <row r="39" ht="15.75" customHeight="1">
      <c r="B39" s="13"/>
    </row>
    <row r="40" ht="15.75" customHeight="1">
      <c r="B40" s="13"/>
    </row>
    <row r="41" ht="15.75" customHeight="1">
      <c r="B41" s="13"/>
    </row>
    <row r="42" ht="15.75" customHeight="1">
      <c r="B42" s="13"/>
    </row>
    <row r="43" ht="15.75" customHeight="1">
      <c r="B43" s="13"/>
    </row>
    <row r="44" ht="15.75" customHeight="1">
      <c r="B44" s="13"/>
    </row>
    <row r="45" ht="15.75" customHeight="1">
      <c r="B45" s="13"/>
    </row>
    <row r="46" ht="15.75" customHeight="1">
      <c r="B46" s="13"/>
    </row>
    <row r="47" ht="15.75" customHeight="1">
      <c r="B47" s="13"/>
    </row>
    <row r="48" ht="15.75" customHeight="1">
      <c r="B48" s="13"/>
    </row>
    <row r="49" ht="15.75" customHeight="1">
      <c r="B49" s="13"/>
    </row>
    <row r="50" ht="15.75" customHeight="1">
      <c r="B50" s="13"/>
    </row>
    <row r="51" ht="15.75" customHeight="1">
      <c r="B51" s="13"/>
    </row>
    <row r="52" ht="15.75" customHeight="1">
      <c r="B52" s="13"/>
    </row>
    <row r="53" ht="15.75" customHeight="1">
      <c r="B53" s="13"/>
    </row>
    <row r="54" ht="15.75" customHeight="1">
      <c r="B54" s="13"/>
    </row>
    <row r="55" ht="15.75" customHeight="1">
      <c r="B55" s="13"/>
    </row>
    <row r="56" ht="15.75" customHeight="1">
      <c r="B56" s="13"/>
    </row>
    <row r="57" ht="15.75" customHeight="1">
      <c r="B57" s="13"/>
    </row>
    <row r="58" ht="15.75" customHeight="1">
      <c r="B58" s="13"/>
    </row>
    <row r="59" ht="15.75" customHeight="1">
      <c r="B59" s="13"/>
    </row>
    <row r="60" ht="15.75" customHeight="1">
      <c r="B60" s="13"/>
    </row>
    <row r="61" ht="15.75" customHeight="1">
      <c r="B61" s="13"/>
    </row>
    <row r="62" ht="15.75" customHeight="1">
      <c r="B62" s="13"/>
    </row>
    <row r="63" ht="15.75" customHeight="1">
      <c r="B63" s="13"/>
    </row>
    <row r="64" ht="15.75" customHeight="1">
      <c r="B64" s="13"/>
    </row>
    <row r="65" ht="15.75" customHeight="1">
      <c r="B65" s="13"/>
    </row>
    <row r="66" ht="15.75" customHeight="1">
      <c r="B66" s="13"/>
    </row>
    <row r="67" ht="15.75" customHeight="1">
      <c r="B67" s="13"/>
    </row>
    <row r="68" ht="15.75" customHeight="1">
      <c r="B68" s="13"/>
    </row>
    <row r="69" ht="15.75" customHeight="1">
      <c r="B69" s="13"/>
    </row>
    <row r="70" ht="15.75" customHeight="1">
      <c r="B70" s="13"/>
    </row>
    <row r="71" ht="15.75" customHeight="1">
      <c r="B71" s="13"/>
    </row>
    <row r="72" ht="15.75" customHeight="1">
      <c r="B72" s="13"/>
    </row>
    <row r="73" ht="15.75" customHeight="1">
      <c r="B73" s="13"/>
    </row>
    <row r="74" ht="15.75" customHeight="1">
      <c r="B74" s="13"/>
    </row>
    <row r="75" ht="15.75" customHeight="1">
      <c r="B75" s="13"/>
    </row>
    <row r="76" ht="15.75" customHeight="1">
      <c r="B76" s="13"/>
    </row>
    <row r="77" ht="15.75" customHeight="1">
      <c r="B77" s="13"/>
    </row>
    <row r="78" ht="15.75" customHeight="1">
      <c r="B78" s="13"/>
    </row>
    <row r="79" ht="15.75" customHeight="1">
      <c r="B79" s="13"/>
    </row>
    <row r="80" ht="15.75" customHeight="1">
      <c r="B80" s="13"/>
    </row>
    <row r="81" ht="15.75" customHeight="1">
      <c r="B81" s="13"/>
    </row>
    <row r="82" ht="15.75" customHeight="1">
      <c r="B82" s="13"/>
    </row>
    <row r="83" ht="15.75" customHeight="1">
      <c r="B83" s="13"/>
    </row>
    <row r="84" ht="15.75" customHeight="1">
      <c r="B84" s="13"/>
    </row>
    <row r="85" ht="15.75" customHeight="1">
      <c r="B85" s="13"/>
    </row>
    <row r="86" ht="15.75" customHeight="1">
      <c r="B86" s="13"/>
    </row>
    <row r="87" ht="15.75" customHeight="1">
      <c r="B87" s="13"/>
    </row>
    <row r="88" ht="15.75" customHeight="1">
      <c r="B88" s="13"/>
    </row>
    <row r="89" ht="15.75" customHeight="1">
      <c r="B89" s="13"/>
    </row>
    <row r="90" ht="15.75" customHeight="1">
      <c r="B90" s="13"/>
    </row>
    <row r="91" ht="15.75" customHeight="1">
      <c r="B91" s="13"/>
    </row>
    <row r="92" ht="15.75" customHeight="1">
      <c r="B92" s="13"/>
    </row>
    <row r="93" ht="15.75" customHeight="1">
      <c r="B93" s="13"/>
    </row>
    <row r="94" ht="15.75" customHeight="1">
      <c r="B94" s="13"/>
    </row>
    <row r="95" ht="15.75" customHeight="1">
      <c r="B95" s="13"/>
    </row>
    <row r="96" ht="15.75" customHeight="1">
      <c r="B96" s="13"/>
    </row>
    <row r="97" ht="15.75" customHeight="1">
      <c r="B97" s="13"/>
    </row>
    <row r="98" ht="15.75" customHeight="1">
      <c r="B98" s="13"/>
    </row>
    <row r="99" ht="15.75" customHeight="1">
      <c r="B99" s="13"/>
    </row>
    <row r="100" ht="15.75" customHeight="1">
      <c r="B100" s="13"/>
    </row>
    <row r="101" ht="15.75" customHeight="1">
      <c r="B101" s="13"/>
    </row>
    <row r="102" ht="15.75" customHeight="1">
      <c r="B102" s="13"/>
    </row>
    <row r="103" ht="15.75" customHeight="1">
      <c r="B103" s="13"/>
    </row>
    <row r="104" ht="15.75" customHeight="1">
      <c r="B104" s="13"/>
    </row>
    <row r="105" ht="15.75" customHeight="1">
      <c r="B105" s="13"/>
    </row>
    <row r="106" ht="15.75" customHeight="1">
      <c r="B106" s="13"/>
    </row>
    <row r="107" ht="15.75" customHeight="1">
      <c r="B107" s="13"/>
    </row>
    <row r="108" ht="15.75" customHeight="1">
      <c r="B108" s="13"/>
    </row>
    <row r="109" ht="15.75" customHeight="1">
      <c r="B109" s="13"/>
    </row>
    <row r="110" ht="15.75" customHeight="1">
      <c r="B110" s="13"/>
    </row>
    <row r="111" ht="15.75" customHeight="1">
      <c r="B111" s="13"/>
    </row>
    <row r="112" ht="15.75" customHeight="1">
      <c r="B112" s="13"/>
    </row>
    <row r="113" ht="15.75" customHeight="1">
      <c r="B113" s="13"/>
    </row>
    <row r="114" ht="15.75" customHeight="1">
      <c r="B114" s="13"/>
    </row>
    <row r="115" ht="15.75" customHeight="1">
      <c r="B115" s="13"/>
    </row>
    <row r="116" ht="15.75" customHeight="1">
      <c r="B116" s="13"/>
    </row>
    <row r="117" ht="15.75" customHeight="1">
      <c r="B117" s="13"/>
    </row>
    <row r="118" ht="15.75" customHeight="1">
      <c r="B118" s="13"/>
    </row>
    <row r="119" ht="15.75" customHeight="1">
      <c r="B119" s="13"/>
    </row>
    <row r="120" ht="15.75" customHeight="1">
      <c r="B120" s="13"/>
    </row>
    <row r="121" ht="15.75" customHeight="1">
      <c r="B121" s="13"/>
    </row>
    <row r="122" ht="15.75" customHeight="1">
      <c r="B122" s="13"/>
    </row>
    <row r="123" ht="15.75" customHeight="1">
      <c r="B123" s="13"/>
    </row>
    <row r="124" ht="15.75" customHeight="1">
      <c r="B124" s="13"/>
    </row>
    <row r="125" ht="15.75" customHeight="1">
      <c r="B125" s="13"/>
    </row>
    <row r="126" ht="15.75" customHeight="1">
      <c r="B126" s="13"/>
    </row>
    <row r="127" ht="15.75" customHeight="1">
      <c r="B127" s="13"/>
    </row>
    <row r="128" ht="15.75" customHeight="1">
      <c r="B128" s="13"/>
    </row>
    <row r="129" ht="15.75" customHeight="1">
      <c r="B129" s="13"/>
    </row>
    <row r="130" ht="15.75" customHeight="1">
      <c r="B130" s="13"/>
    </row>
    <row r="131" ht="15.75" customHeight="1">
      <c r="B131" s="13"/>
    </row>
    <row r="132" ht="15.75" customHeight="1">
      <c r="B132" s="13"/>
    </row>
    <row r="133" ht="15.75" customHeight="1">
      <c r="B133" s="13"/>
    </row>
    <row r="134" ht="15.75" customHeight="1">
      <c r="B134" s="13"/>
    </row>
    <row r="135" ht="15.75" customHeight="1">
      <c r="B135" s="13"/>
    </row>
    <row r="136" ht="15.75" customHeight="1">
      <c r="B136" s="13"/>
    </row>
    <row r="137" ht="15.75" customHeight="1">
      <c r="B137" s="13"/>
    </row>
    <row r="138" ht="15.75" customHeight="1">
      <c r="B138" s="13"/>
    </row>
    <row r="139" ht="15.75" customHeight="1">
      <c r="B139" s="13"/>
    </row>
    <row r="140" ht="15.75" customHeight="1">
      <c r="B140" s="13"/>
    </row>
    <row r="141" ht="15.75" customHeight="1">
      <c r="B141" s="13"/>
    </row>
    <row r="142" ht="15.75" customHeight="1">
      <c r="B142" s="13"/>
    </row>
    <row r="143" ht="15.75" customHeight="1">
      <c r="B143" s="13"/>
    </row>
    <row r="144" ht="15.75" customHeight="1">
      <c r="B144" s="13"/>
    </row>
    <row r="145" ht="15.75" customHeight="1">
      <c r="B145" s="13"/>
    </row>
    <row r="146" ht="15.75" customHeight="1">
      <c r="B146" s="13"/>
    </row>
    <row r="147" ht="15.75" customHeight="1">
      <c r="B147" s="13"/>
    </row>
    <row r="148" ht="15.75" customHeight="1">
      <c r="B148" s="13"/>
    </row>
    <row r="149" ht="15.75" customHeight="1">
      <c r="B149" s="13"/>
    </row>
    <row r="150" ht="15.75" customHeight="1">
      <c r="B150" s="13"/>
    </row>
    <row r="151" ht="15.75" customHeight="1">
      <c r="B151" s="13"/>
    </row>
    <row r="152" ht="15.75" customHeight="1">
      <c r="B152" s="13"/>
    </row>
    <row r="153" ht="15.75" customHeight="1">
      <c r="B153" s="13"/>
    </row>
    <row r="154" ht="15.75" customHeight="1">
      <c r="B154" s="13"/>
    </row>
    <row r="155" ht="15.75" customHeight="1">
      <c r="B155" s="13"/>
    </row>
    <row r="156" ht="15.75" customHeight="1">
      <c r="B156" s="13"/>
    </row>
    <row r="157" ht="15.75" customHeight="1">
      <c r="B157" s="13"/>
    </row>
    <row r="158" ht="15.75" customHeight="1">
      <c r="B158" s="13"/>
    </row>
    <row r="159" ht="15.75" customHeight="1">
      <c r="B159" s="13"/>
    </row>
    <row r="160" ht="15.75" customHeight="1">
      <c r="B160" s="13"/>
    </row>
    <row r="161" ht="15.75" customHeight="1">
      <c r="B161" s="13"/>
    </row>
    <row r="162" ht="15.75" customHeight="1">
      <c r="B162" s="13"/>
    </row>
    <row r="163" ht="15.75" customHeight="1">
      <c r="B163" s="13"/>
    </row>
    <row r="164" ht="15.75" customHeight="1">
      <c r="B164" s="13"/>
    </row>
    <row r="165" ht="15.75" customHeight="1">
      <c r="B165" s="13"/>
    </row>
    <row r="166" ht="15.75" customHeight="1">
      <c r="B166" s="13"/>
    </row>
    <row r="167" ht="15.75" customHeight="1">
      <c r="B167" s="13"/>
    </row>
    <row r="168" ht="15.75" customHeight="1">
      <c r="B168" s="13"/>
    </row>
    <row r="169" ht="15.75" customHeight="1">
      <c r="B169" s="13"/>
    </row>
    <row r="170" ht="15.75" customHeight="1">
      <c r="B170" s="13"/>
    </row>
    <row r="171" ht="15.75" customHeight="1">
      <c r="B171" s="13"/>
    </row>
    <row r="172" ht="15.75" customHeight="1">
      <c r="B172" s="13"/>
    </row>
    <row r="173" ht="15.75" customHeight="1">
      <c r="B173" s="13"/>
    </row>
    <row r="174" ht="15.75" customHeight="1">
      <c r="B174" s="13"/>
    </row>
    <row r="175" ht="15.75" customHeight="1">
      <c r="B175" s="13"/>
    </row>
    <row r="176" ht="15.75" customHeight="1">
      <c r="B176" s="13"/>
    </row>
    <row r="177" ht="15.75" customHeight="1">
      <c r="B177" s="13"/>
    </row>
    <row r="178" ht="15.75" customHeight="1">
      <c r="B178" s="13"/>
    </row>
    <row r="179" ht="15.75" customHeight="1">
      <c r="B179" s="13"/>
    </row>
    <row r="180" ht="15.75" customHeight="1">
      <c r="B180" s="13"/>
    </row>
    <row r="181" ht="15.75" customHeight="1">
      <c r="B181" s="13"/>
    </row>
    <row r="182" ht="15.75" customHeight="1">
      <c r="B182" s="13"/>
    </row>
    <row r="183" ht="15.75" customHeight="1">
      <c r="B183" s="13"/>
    </row>
    <row r="184" ht="15.75" customHeight="1">
      <c r="B184" s="13"/>
    </row>
    <row r="185" ht="15.75" customHeight="1">
      <c r="B185" s="13"/>
    </row>
    <row r="186" ht="15.75" customHeight="1">
      <c r="B186" s="13"/>
    </row>
    <row r="187" ht="15.75" customHeight="1">
      <c r="B187" s="13"/>
    </row>
    <row r="188" ht="15.75" customHeight="1">
      <c r="B188" s="13"/>
    </row>
    <row r="189" ht="15.75" customHeight="1">
      <c r="B189" s="13"/>
    </row>
    <row r="190" ht="15.75" customHeight="1">
      <c r="B190" s="13"/>
    </row>
    <row r="191" ht="15.75" customHeight="1">
      <c r="B191" s="13"/>
    </row>
    <row r="192" ht="15.75" customHeight="1">
      <c r="B192" s="13"/>
    </row>
    <row r="193" ht="15.75" customHeight="1">
      <c r="B193" s="13"/>
    </row>
    <row r="194" ht="15.75" customHeight="1">
      <c r="B194" s="13"/>
    </row>
    <row r="195" ht="15.75" customHeight="1">
      <c r="B195" s="13"/>
    </row>
    <row r="196" ht="15.75" customHeight="1">
      <c r="B196" s="13"/>
    </row>
    <row r="197" ht="15.75" customHeight="1">
      <c r="B197" s="13"/>
    </row>
    <row r="198" ht="15.75" customHeight="1">
      <c r="B198" s="13"/>
    </row>
    <row r="199" ht="15.75" customHeight="1">
      <c r="B199" s="13"/>
    </row>
    <row r="200" ht="15.75" customHeight="1">
      <c r="B200" s="13"/>
    </row>
    <row r="201" ht="15.75" customHeight="1">
      <c r="B201" s="13"/>
    </row>
    <row r="202" ht="15.75" customHeight="1">
      <c r="B202" s="13"/>
    </row>
    <row r="203" ht="15.75" customHeight="1">
      <c r="B203" s="13"/>
    </row>
    <row r="204" ht="15.75" customHeight="1">
      <c r="B204" s="13"/>
    </row>
    <row r="205" ht="15.75" customHeight="1">
      <c r="B205" s="13"/>
    </row>
    <row r="206" ht="15.75" customHeight="1">
      <c r="B206" s="13"/>
    </row>
    <row r="207" ht="15.75" customHeight="1">
      <c r="B207" s="13"/>
    </row>
    <row r="208" ht="15.75" customHeight="1">
      <c r="B208" s="13"/>
    </row>
    <row r="209" ht="15.75" customHeight="1">
      <c r="B209" s="13"/>
    </row>
    <row r="210" ht="15.75" customHeight="1">
      <c r="B210" s="13"/>
    </row>
    <row r="211" ht="15.75" customHeight="1">
      <c r="B211" s="13"/>
    </row>
    <row r="212" ht="15.75" customHeight="1">
      <c r="B212" s="13"/>
    </row>
    <row r="213" ht="15.75" customHeight="1">
      <c r="B213" s="13"/>
    </row>
    <row r="214" ht="15.75" customHeight="1">
      <c r="B214" s="13"/>
    </row>
    <row r="215" ht="15.75" customHeight="1">
      <c r="B215" s="13"/>
    </row>
    <row r="216" ht="15.75" customHeight="1">
      <c r="B216" s="13"/>
    </row>
    <row r="217" ht="15.75" customHeight="1">
      <c r="B217" s="13"/>
    </row>
    <row r="218" ht="15.75" customHeight="1">
      <c r="B218" s="13"/>
    </row>
    <row r="219" ht="15.75" customHeight="1">
      <c r="B219" s="13"/>
    </row>
    <row r="220" ht="15.75" customHeight="1">
      <c r="B220" s="1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5.71"/>
    <col customWidth="1" min="2" max="2" width="22.71"/>
    <col customWidth="1" min="3" max="6" width="8.71"/>
  </cols>
  <sheetData>
    <row r="1">
      <c r="A1" s="14" t="s">
        <v>25</v>
      </c>
      <c r="B1" s="14" t="s">
        <v>26</v>
      </c>
    </row>
    <row r="2">
      <c r="A2" s="15" t="s">
        <v>27</v>
      </c>
      <c r="B2" s="13">
        <v>780.0</v>
      </c>
    </row>
    <row r="3">
      <c r="A3" s="15" t="s">
        <v>28</v>
      </c>
      <c r="B3" s="13">
        <v>0.04</v>
      </c>
    </row>
    <row r="4">
      <c r="B4" s="13"/>
    </row>
    <row r="5">
      <c r="B5" s="13"/>
    </row>
    <row r="6">
      <c r="B6" s="13"/>
    </row>
    <row r="7">
      <c r="B7" s="13"/>
    </row>
    <row r="8">
      <c r="B8" s="13"/>
    </row>
    <row r="9">
      <c r="B9" s="13"/>
    </row>
    <row r="10">
      <c r="B10" s="13"/>
    </row>
    <row r="11">
      <c r="B11" s="13"/>
    </row>
    <row r="12">
      <c r="B12" s="13"/>
    </row>
    <row r="13">
      <c r="B13" s="13"/>
    </row>
    <row r="14">
      <c r="B14" s="13"/>
    </row>
    <row r="15">
      <c r="B15" s="13"/>
    </row>
    <row r="16">
      <c r="B16" s="13"/>
    </row>
    <row r="17">
      <c r="B17" s="13"/>
    </row>
    <row r="18">
      <c r="B18" s="13"/>
    </row>
    <row r="19">
      <c r="B19" s="13"/>
    </row>
    <row r="20">
      <c r="B20" s="13"/>
    </row>
    <row r="21" ht="15.75" customHeight="1">
      <c r="B21" s="13"/>
    </row>
    <row r="22" ht="15.75" customHeight="1">
      <c r="B22" s="13"/>
    </row>
    <row r="23" ht="15.75" customHeight="1">
      <c r="B23" s="13"/>
    </row>
    <row r="24" ht="15.75" customHeight="1">
      <c r="B24" s="13"/>
    </row>
    <row r="25" ht="15.75" customHeight="1">
      <c r="B25" s="13"/>
    </row>
    <row r="26" ht="15.75" customHeight="1">
      <c r="B26" s="13"/>
    </row>
    <row r="27" ht="15.75" customHeight="1">
      <c r="B27" s="13"/>
    </row>
    <row r="28" ht="15.75" customHeight="1">
      <c r="B28" s="13"/>
    </row>
    <row r="29" ht="15.75" customHeight="1">
      <c r="B29" s="13"/>
    </row>
    <row r="30" ht="15.75" customHeight="1">
      <c r="B30" s="13"/>
    </row>
    <row r="31" ht="15.75" customHeight="1">
      <c r="B31" s="13"/>
    </row>
    <row r="32" ht="15.75" customHeight="1">
      <c r="B32" s="13"/>
    </row>
    <row r="33" ht="15.75" customHeight="1">
      <c r="B33" s="13"/>
    </row>
    <row r="34" ht="15.75" customHeight="1">
      <c r="B34" s="13"/>
    </row>
    <row r="35" ht="15.75" customHeight="1">
      <c r="B35" s="13"/>
    </row>
    <row r="36" ht="15.75" customHeight="1">
      <c r="B36" s="13"/>
    </row>
    <row r="37" ht="15.75" customHeight="1">
      <c r="B37" s="13"/>
    </row>
    <row r="38" ht="15.75" customHeight="1">
      <c r="B38" s="13"/>
    </row>
    <row r="39" ht="15.75" customHeight="1">
      <c r="B39" s="13"/>
    </row>
    <row r="40" ht="15.75" customHeight="1">
      <c r="B40" s="13"/>
    </row>
    <row r="41" ht="15.75" customHeight="1">
      <c r="B41" s="13"/>
    </row>
    <row r="42" ht="15.75" customHeight="1">
      <c r="B42" s="13"/>
    </row>
    <row r="43" ht="15.75" customHeight="1">
      <c r="B43" s="13"/>
    </row>
    <row r="44" ht="15.75" customHeight="1">
      <c r="B44" s="13"/>
    </row>
    <row r="45" ht="15.75" customHeight="1">
      <c r="B45" s="13"/>
    </row>
    <row r="46" ht="15.75" customHeight="1">
      <c r="B46" s="13"/>
    </row>
    <row r="47" ht="15.75" customHeight="1">
      <c r="B47" s="13"/>
    </row>
    <row r="48" ht="15.75" customHeight="1">
      <c r="B48" s="13"/>
    </row>
    <row r="49" ht="15.75" customHeight="1">
      <c r="B49" s="13"/>
    </row>
    <row r="50" ht="15.75" customHeight="1">
      <c r="B50" s="13"/>
    </row>
    <row r="51" ht="15.75" customHeight="1">
      <c r="B51" s="13"/>
    </row>
    <row r="52" ht="15.75" customHeight="1">
      <c r="B52" s="13"/>
    </row>
    <row r="53" ht="15.75" customHeight="1">
      <c r="B53" s="13"/>
    </row>
    <row r="54" ht="15.75" customHeight="1">
      <c r="B54" s="13"/>
    </row>
    <row r="55" ht="15.75" customHeight="1">
      <c r="B55" s="13"/>
    </row>
    <row r="56" ht="15.75" customHeight="1">
      <c r="B56" s="13"/>
    </row>
    <row r="57" ht="15.75" customHeight="1">
      <c r="B57" s="13"/>
    </row>
    <row r="58" ht="15.75" customHeight="1">
      <c r="B58" s="13"/>
    </row>
    <row r="59" ht="15.75" customHeight="1">
      <c r="B59" s="13"/>
    </row>
    <row r="60" ht="15.75" customHeight="1">
      <c r="B60" s="13"/>
    </row>
    <row r="61" ht="15.75" customHeight="1">
      <c r="B61" s="13"/>
    </row>
    <row r="62" ht="15.75" customHeight="1">
      <c r="B62" s="13"/>
    </row>
    <row r="63" ht="15.75" customHeight="1">
      <c r="B63" s="13"/>
    </row>
    <row r="64" ht="15.75" customHeight="1">
      <c r="B64" s="13"/>
    </row>
    <row r="65" ht="15.75" customHeight="1">
      <c r="B65" s="13"/>
    </row>
    <row r="66" ht="15.75" customHeight="1">
      <c r="B66" s="13"/>
    </row>
    <row r="67" ht="15.75" customHeight="1">
      <c r="B67" s="13"/>
    </row>
    <row r="68" ht="15.75" customHeight="1">
      <c r="B68" s="13"/>
    </row>
    <row r="69" ht="15.75" customHeight="1">
      <c r="B69" s="13"/>
    </row>
    <row r="70" ht="15.75" customHeight="1">
      <c r="B70" s="13"/>
    </row>
    <row r="71" ht="15.75" customHeight="1">
      <c r="B71" s="13"/>
    </row>
    <row r="72" ht="15.75" customHeight="1">
      <c r="B72" s="13"/>
    </row>
    <row r="73" ht="15.75" customHeight="1">
      <c r="B73" s="13"/>
    </row>
    <row r="74" ht="15.75" customHeight="1">
      <c r="B74" s="13"/>
    </row>
    <row r="75" ht="15.75" customHeight="1">
      <c r="B75" s="13"/>
    </row>
    <row r="76" ht="15.75" customHeight="1">
      <c r="B76" s="13"/>
    </row>
    <row r="77" ht="15.75" customHeight="1">
      <c r="B77" s="13"/>
    </row>
    <row r="78" ht="15.75" customHeight="1">
      <c r="B78" s="13"/>
    </row>
    <row r="79" ht="15.75" customHeight="1">
      <c r="B79" s="13"/>
    </row>
    <row r="80" ht="15.75" customHeight="1">
      <c r="B80" s="13"/>
    </row>
    <row r="81" ht="15.75" customHeight="1">
      <c r="B81" s="13"/>
    </row>
    <row r="82" ht="15.75" customHeight="1">
      <c r="B82" s="13"/>
    </row>
    <row r="83" ht="15.75" customHeight="1">
      <c r="B83" s="13"/>
    </row>
    <row r="84" ht="15.75" customHeight="1">
      <c r="B84" s="13"/>
    </row>
    <row r="85" ht="15.75" customHeight="1">
      <c r="B85" s="13"/>
    </row>
    <row r="86" ht="15.75" customHeight="1">
      <c r="B86" s="13"/>
    </row>
    <row r="87" ht="15.75" customHeight="1">
      <c r="B87" s="13"/>
    </row>
    <row r="88" ht="15.75" customHeight="1">
      <c r="B88" s="13"/>
    </row>
    <row r="89" ht="15.75" customHeight="1">
      <c r="B89" s="13"/>
    </row>
    <row r="90" ht="15.75" customHeight="1">
      <c r="B90" s="13"/>
    </row>
    <row r="91" ht="15.75" customHeight="1">
      <c r="B91" s="13"/>
    </row>
    <row r="92" ht="15.75" customHeight="1">
      <c r="B92" s="13"/>
    </row>
    <row r="93" ht="15.75" customHeight="1">
      <c r="B93" s="13"/>
    </row>
    <row r="94" ht="15.75" customHeight="1">
      <c r="B94" s="13"/>
    </row>
    <row r="95" ht="15.75" customHeight="1">
      <c r="B95" s="13"/>
    </row>
    <row r="96" ht="15.75" customHeight="1">
      <c r="B96" s="13"/>
    </row>
    <row r="97" ht="15.75" customHeight="1">
      <c r="B97" s="13"/>
    </row>
    <row r="98" ht="15.75" customHeight="1">
      <c r="B98" s="13"/>
    </row>
    <row r="99" ht="15.75" customHeight="1">
      <c r="B99" s="13"/>
    </row>
    <row r="100" ht="15.75" customHeight="1">
      <c r="B100" s="13"/>
    </row>
    <row r="101" ht="15.75" customHeight="1">
      <c r="B101" s="13"/>
    </row>
    <row r="102" ht="15.75" customHeight="1">
      <c r="B102" s="13"/>
    </row>
    <row r="103" ht="15.75" customHeight="1">
      <c r="B103" s="13"/>
    </row>
    <row r="104" ht="15.75" customHeight="1">
      <c r="B104" s="13"/>
    </row>
    <row r="105" ht="15.75" customHeight="1">
      <c r="B105" s="13"/>
    </row>
    <row r="106" ht="15.75" customHeight="1">
      <c r="B106" s="13"/>
    </row>
    <row r="107" ht="15.75" customHeight="1">
      <c r="B107" s="13"/>
    </row>
    <row r="108" ht="15.75" customHeight="1">
      <c r="B108" s="13"/>
    </row>
    <row r="109" ht="15.75" customHeight="1">
      <c r="B109" s="13"/>
    </row>
    <row r="110" ht="15.75" customHeight="1">
      <c r="B110" s="13"/>
    </row>
    <row r="111" ht="15.75" customHeight="1">
      <c r="B111" s="13"/>
    </row>
    <row r="112" ht="15.75" customHeight="1">
      <c r="B112" s="13"/>
    </row>
    <row r="113" ht="15.75" customHeight="1">
      <c r="B113" s="13"/>
    </row>
    <row r="114" ht="15.75" customHeight="1">
      <c r="B114" s="13"/>
    </row>
    <row r="115" ht="15.75" customHeight="1">
      <c r="B115" s="13"/>
    </row>
    <row r="116" ht="15.75" customHeight="1">
      <c r="B116" s="13"/>
    </row>
    <row r="117" ht="15.75" customHeight="1">
      <c r="B117" s="13"/>
    </row>
    <row r="118" ht="15.75" customHeight="1">
      <c r="B118" s="13"/>
    </row>
    <row r="119" ht="15.75" customHeight="1">
      <c r="B119" s="13"/>
    </row>
    <row r="120" ht="15.75" customHeight="1">
      <c r="B120" s="13"/>
    </row>
    <row r="121" ht="15.75" customHeight="1">
      <c r="B121" s="13"/>
    </row>
    <row r="122" ht="15.75" customHeight="1">
      <c r="B122" s="13"/>
    </row>
    <row r="123" ht="15.75" customHeight="1">
      <c r="B123" s="13"/>
    </row>
    <row r="124" ht="15.75" customHeight="1">
      <c r="B124" s="13"/>
    </row>
    <row r="125" ht="15.75" customHeight="1">
      <c r="B125" s="13"/>
    </row>
    <row r="126" ht="15.75" customHeight="1">
      <c r="B126" s="13"/>
    </row>
    <row r="127" ht="15.75" customHeight="1">
      <c r="B127" s="13"/>
    </row>
    <row r="128" ht="15.75" customHeight="1">
      <c r="B128" s="13"/>
    </row>
    <row r="129" ht="15.75" customHeight="1">
      <c r="B129" s="13"/>
    </row>
    <row r="130" ht="15.75" customHeight="1">
      <c r="B130" s="13"/>
    </row>
    <row r="131" ht="15.75" customHeight="1">
      <c r="B131" s="13"/>
    </row>
    <row r="132" ht="15.75" customHeight="1">
      <c r="B132" s="13"/>
    </row>
    <row r="133" ht="15.75" customHeight="1">
      <c r="B133" s="13"/>
    </row>
    <row r="134" ht="15.75" customHeight="1">
      <c r="B134" s="13"/>
    </row>
    <row r="135" ht="15.75" customHeight="1">
      <c r="B135" s="13"/>
    </row>
    <row r="136" ht="15.75" customHeight="1">
      <c r="B136" s="13"/>
    </row>
    <row r="137" ht="15.75" customHeight="1">
      <c r="B137" s="13"/>
    </row>
    <row r="138" ht="15.75" customHeight="1">
      <c r="B138" s="13"/>
    </row>
    <row r="139" ht="15.75" customHeight="1">
      <c r="B139" s="13"/>
    </row>
    <row r="140" ht="15.75" customHeight="1">
      <c r="B140" s="13"/>
    </row>
    <row r="141" ht="15.75" customHeight="1">
      <c r="B141" s="13"/>
    </row>
    <row r="142" ht="15.75" customHeight="1">
      <c r="B142" s="13"/>
    </row>
    <row r="143" ht="15.75" customHeight="1">
      <c r="B143" s="13"/>
    </row>
    <row r="144" ht="15.75" customHeight="1">
      <c r="B144" s="13"/>
    </row>
    <row r="145" ht="15.75" customHeight="1">
      <c r="B145" s="13"/>
    </row>
    <row r="146" ht="15.75" customHeight="1">
      <c r="B146" s="13"/>
    </row>
    <row r="147" ht="15.75" customHeight="1">
      <c r="B147" s="13"/>
    </row>
    <row r="148" ht="15.75" customHeight="1">
      <c r="B148" s="13"/>
    </row>
    <row r="149" ht="15.75" customHeight="1">
      <c r="B149" s="13"/>
    </row>
    <row r="150" ht="15.75" customHeight="1">
      <c r="B150" s="13"/>
    </row>
    <row r="151" ht="15.75" customHeight="1">
      <c r="B151" s="13"/>
    </row>
    <row r="152" ht="15.75" customHeight="1">
      <c r="B152" s="13"/>
    </row>
    <row r="153" ht="15.75" customHeight="1">
      <c r="B153" s="13"/>
    </row>
    <row r="154" ht="15.75" customHeight="1">
      <c r="B154" s="13"/>
    </row>
    <row r="155" ht="15.75" customHeight="1">
      <c r="B155" s="13"/>
    </row>
    <row r="156" ht="15.75" customHeight="1">
      <c r="B156" s="13"/>
    </row>
    <row r="157" ht="15.75" customHeight="1">
      <c r="B157" s="13"/>
    </row>
    <row r="158" ht="15.75" customHeight="1">
      <c r="B158" s="13"/>
    </row>
    <row r="159" ht="15.75" customHeight="1">
      <c r="B159" s="13"/>
    </row>
    <row r="160" ht="15.75" customHeight="1">
      <c r="B160" s="13"/>
    </row>
    <row r="161" ht="15.75" customHeight="1">
      <c r="B161" s="13"/>
    </row>
    <row r="162" ht="15.75" customHeight="1">
      <c r="B162" s="13"/>
    </row>
    <row r="163" ht="15.75" customHeight="1">
      <c r="B163" s="13"/>
    </row>
    <row r="164" ht="15.75" customHeight="1">
      <c r="B164" s="13"/>
    </row>
    <row r="165" ht="15.75" customHeight="1">
      <c r="B165" s="13"/>
    </row>
    <row r="166" ht="15.75" customHeight="1">
      <c r="B166" s="13"/>
    </row>
    <row r="167" ht="15.75" customHeight="1">
      <c r="B167" s="13"/>
    </row>
    <row r="168" ht="15.75" customHeight="1">
      <c r="B168" s="13"/>
    </row>
    <row r="169" ht="15.75" customHeight="1">
      <c r="B169" s="13"/>
    </row>
    <row r="170" ht="15.75" customHeight="1">
      <c r="B170" s="13"/>
    </row>
    <row r="171" ht="15.75" customHeight="1">
      <c r="B171" s="13"/>
    </row>
    <row r="172" ht="15.75" customHeight="1">
      <c r="B172" s="13"/>
    </row>
    <row r="173" ht="15.75" customHeight="1">
      <c r="B173" s="13"/>
    </row>
    <row r="174" ht="15.75" customHeight="1">
      <c r="B174" s="13"/>
    </row>
    <row r="175" ht="15.75" customHeight="1">
      <c r="B175" s="13"/>
    </row>
    <row r="176" ht="15.75" customHeight="1">
      <c r="B176" s="13"/>
    </row>
    <row r="177" ht="15.75" customHeight="1">
      <c r="B177" s="13"/>
    </row>
    <row r="178" ht="15.75" customHeight="1">
      <c r="B178" s="13"/>
    </row>
    <row r="179" ht="15.75" customHeight="1">
      <c r="B179" s="13"/>
    </row>
    <row r="180" ht="15.75" customHeight="1">
      <c r="B180" s="13"/>
    </row>
    <row r="181" ht="15.75" customHeight="1">
      <c r="B181" s="13"/>
    </row>
    <row r="182" ht="15.75" customHeight="1">
      <c r="B182" s="13"/>
    </row>
    <row r="183" ht="15.75" customHeight="1">
      <c r="B183" s="13"/>
    </row>
    <row r="184" ht="15.75" customHeight="1">
      <c r="B184" s="13"/>
    </row>
    <row r="185" ht="15.75" customHeight="1">
      <c r="B185" s="13"/>
    </row>
    <row r="186" ht="15.75" customHeight="1">
      <c r="B186" s="13"/>
    </row>
    <row r="187" ht="15.75" customHeight="1">
      <c r="B187" s="13"/>
    </row>
    <row r="188" ht="15.75" customHeight="1">
      <c r="B188" s="13"/>
    </row>
    <row r="189" ht="15.75" customHeight="1">
      <c r="B189" s="13"/>
    </row>
    <row r="190" ht="15.75" customHeight="1">
      <c r="B190" s="13"/>
    </row>
    <row r="191" ht="15.75" customHeight="1">
      <c r="B191" s="13"/>
    </row>
    <row r="192" ht="15.75" customHeight="1">
      <c r="B192" s="13"/>
    </row>
    <row r="193" ht="15.75" customHeight="1">
      <c r="B193" s="13"/>
    </row>
    <row r="194" ht="15.75" customHeight="1">
      <c r="B194" s="13"/>
    </row>
    <row r="195" ht="15.75" customHeight="1">
      <c r="B195" s="13"/>
    </row>
    <row r="196" ht="15.75" customHeight="1">
      <c r="B196" s="13"/>
    </row>
    <row r="197" ht="15.75" customHeight="1">
      <c r="B197" s="13"/>
    </row>
    <row r="198" ht="15.75" customHeight="1">
      <c r="B198" s="13"/>
    </row>
    <row r="199" ht="15.75" customHeight="1">
      <c r="B199" s="13"/>
    </row>
    <row r="200" ht="15.75" customHeight="1">
      <c r="B200" s="13"/>
    </row>
    <row r="201" ht="15.75" customHeight="1">
      <c r="B201" s="13"/>
    </row>
    <row r="202" ht="15.75" customHeight="1">
      <c r="B202" s="13"/>
    </row>
    <row r="203" ht="15.75" customHeight="1">
      <c r="B203" s="13"/>
    </row>
    <row r="204" ht="15.75" customHeight="1">
      <c r="B204" s="13"/>
    </row>
    <row r="205" ht="15.75" customHeight="1">
      <c r="B205" s="13"/>
    </row>
    <row r="206" ht="15.75" customHeight="1">
      <c r="B206" s="13"/>
    </row>
    <row r="207" ht="15.75" customHeight="1">
      <c r="B207" s="13"/>
    </row>
    <row r="208" ht="15.75" customHeight="1">
      <c r="B208" s="13"/>
    </row>
    <row r="209" ht="15.75" customHeight="1">
      <c r="B209" s="13"/>
    </row>
    <row r="210" ht="15.75" customHeight="1">
      <c r="B210" s="13"/>
    </row>
    <row r="211" ht="15.75" customHeight="1">
      <c r="B211" s="13"/>
    </row>
    <row r="212" ht="15.75" customHeight="1">
      <c r="B212" s="13"/>
    </row>
    <row r="213" ht="15.75" customHeight="1">
      <c r="B213" s="13"/>
    </row>
    <row r="214" ht="15.75" customHeight="1">
      <c r="B214" s="13"/>
    </row>
    <row r="215" ht="15.75" customHeight="1">
      <c r="B215" s="13"/>
    </row>
    <row r="216" ht="15.75" customHeight="1">
      <c r="B216" s="13"/>
    </row>
    <row r="217" ht="15.75" customHeight="1">
      <c r="B217" s="13"/>
    </row>
    <row r="218" ht="15.75" customHeight="1">
      <c r="B218" s="13"/>
    </row>
    <row r="219" ht="15.75" customHeight="1">
      <c r="B219" s="13"/>
    </row>
    <row r="220" ht="15.75" customHeight="1">
      <c r="B220" s="1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